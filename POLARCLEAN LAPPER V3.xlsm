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tonterias\"/>
    </mc:Choice>
  </mc:AlternateContent>
  <xr:revisionPtr revIDLastSave="0" documentId="13_ncr:1_{30C1F360-A9A2-4C9C-9A9A-15C28EA0727A}" xr6:coauthVersionLast="47" xr6:coauthVersionMax="47" xr10:uidLastSave="{00000000-0000-0000-0000-000000000000}"/>
  <bookViews>
    <workbookView xWindow="-110" yWindow="-110" windowWidth="19420" windowHeight="10420" tabRatio="651" xr2:uid="{886EA621-CFA7-4BB6-8316-643305CF4A3A}"/>
  </bookViews>
  <sheets>
    <sheet name="Hoja1" sheetId="1" r:id="rId1"/>
    <sheet name="Registros" sheetId="2" r:id="rId2"/>
    <sheet name="Servicios-Precios" sheetId="3" r:id="rId3"/>
    <sheet name="Registro de clientes" sheetId="4" r:id="rId4"/>
    <sheet name="hoja de factura" sheetId="5" r:id="rId5"/>
    <sheet name="RDS-No entregados" sheetId="6" r:id="rId6"/>
    <sheet name="Registros_conteo" sheetId="7" r:id="rId7"/>
    <sheet name="Hoja de control" sheetId="8" r:id="rId8"/>
  </sheets>
  <definedNames>
    <definedName name="_xlnm._FilterDatabase" localSheetId="6" hidden="1">Registros_conteo!$CR$4:$CR$5</definedName>
    <definedName name="_xlnm.Extract" localSheetId="6">Registros_conteo!$CT$3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4" i="1" l="1"/>
  <c r="D35" i="1"/>
  <c r="C53" i="1" l="1"/>
  <c r="H2" i="8" a="1"/>
  <c r="H2" i="8" s="1"/>
  <c r="D2" i="8" a="1"/>
  <c r="D2" i="8" s="1"/>
  <c r="B2" i="8" a="1"/>
  <c r="B2" i="8" s="1"/>
  <c r="C37" i="1"/>
  <c r="D37" i="1" s="1"/>
  <c r="C41" i="1"/>
  <c r="C36" i="1"/>
  <c r="C33" i="1"/>
  <c r="C32" i="1"/>
  <c r="C31" i="1"/>
  <c r="C28" i="1"/>
  <c r="C27" i="1"/>
  <c r="C26" i="1"/>
  <c r="G9" i="5"/>
  <c r="C25" i="1"/>
  <c r="G14" i="1"/>
  <c r="S3" i="1"/>
  <c r="T3" i="1" s="1"/>
  <c r="U3" i="1" s="1"/>
  <c r="C3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<sst xmlns="http://schemas.openxmlformats.org/spreadsheetml/2006/main" count="1356" uniqueCount="513">
  <si>
    <t>Formulario</t>
  </si>
  <si>
    <t>Estado</t>
  </si>
  <si>
    <t>Registro_de_empleado</t>
  </si>
  <si>
    <t xml:space="preserve">Empleados </t>
  </si>
  <si>
    <t>Nombre</t>
  </si>
  <si>
    <t>Cargo</t>
  </si>
  <si>
    <t>Telefono</t>
  </si>
  <si>
    <t>Dirección</t>
  </si>
  <si>
    <t xml:space="preserve">Turno </t>
  </si>
  <si>
    <t xml:space="preserve">Inicio </t>
  </si>
  <si>
    <t>Final</t>
  </si>
  <si>
    <t>formulario_admin</t>
  </si>
  <si>
    <t>servicio</t>
  </si>
  <si>
    <t>No.control</t>
  </si>
  <si>
    <t>Servicio</t>
  </si>
  <si>
    <t>no.servicio</t>
  </si>
  <si>
    <t>no.control</t>
  </si>
  <si>
    <t>D2</t>
  </si>
  <si>
    <t>E2</t>
  </si>
  <si>
    <t>P2</t>
  </si>
  <si>
    <t>C2</t>
  </si>
  <si>
    <t>Clave 1</t>
  </si>
  <si>
    <t>Clave 2</t>
  </si>
  <si>
    <t>No.letra 1</t>
  </si>
  <si>
    <t>No.letra 2</t>
  </si>
  <si>
    <t>No.letra 3</t>
  </si>
  <si>
    <t>Clave 3</t>
  </si>
  <si>
    <t>No.Servicio</t>
  </si>
  <si>
    <t>Costo</t>
  </si>
  <si>
    <t>F2</t>
  </si>
  <si>
    <t>G2</t>
  </si>
  <si>
    <t>H2</t>
  </si>
  <si>
    <t>I2</t>
  </si>
  <si>
    <t>J2</t>
  </si>
  <si>
    <t>K2</t>
  </si>
  <si>
    <t>PP1</t>
  </si>
  <si>
    <t>No.Cliente</t>
  </si>
  <si>
    <t>Clave de cliente</t>
  </si>
  <si>
    <t>Clientes registrados</t>
  </si>
  <si>
    <t>Encargado de registro</t>
  </si>
  <si>
    <t>juan</t>
  </si>
  <si>
    <t>DARIOS</t>
  </si>
  <si>
    <t>DARPC9771</t>
  </si>
  <si>
    <t>Encargado Polar Clean</t>
  </si>
  <si>
    <t>Subservicio</t>
  </si>
  <si>
    <t>Estatus de pago</t>
  </si>
  <si>
    <t>Cantidad</t>
  </si>
  <si>
    <t>Dia</t>
  </si>
  <si>
    <t>Nombre:</t>
  </si>
  <si>
    <t>Telefono:</t>
  </si>
  <si>
    <r>
      <t>Polar Clean</t>
    </r>
    <r>
      <rPr>
        <b/>
        <sz val="11"/>
        <color theme="3" tint="0.499984740745262"/>
        <rFont val="Tahoma"/>
        <family val="2"/>
      </rPr>
      <t xml:space="preserve">
Exelencia en limpieza</t>
    </r>
  </si>
  <si>
    <t>Servicio:</t>
  </si>
  <si>
    <t>Codigo</t>
  </si>
  <si>
    <t>Sub servicio</t>
  </si>
  <si>
    <t>Kg/ Pz</t>
  </si>
  <si>
    <t>Precio U.</t>
  </si>
  <si>
    <t>Sub-Total</t>
  </si>
  <si>
    <t>Numero de Op. Actual</t>
  </si>
  <si>
    <t>no.veces btp.presionado</t>
  </si>
  <si>
    <t>Total</t>
  </si>
  <si>
    <t>A cuenta</t>
  </si>
  <si>
    <t>Fecha:</t>
  </si>
  <si>
    <t>Fecha Entrega:</t>
  </si>
  <si>
    <t>Desp. De las:</t>
  </si>
  <si>
    <t>Leyenda: La empresa no se hace responsable de los objetos olvidados.
                   La empresa no acepta ropa interior para lavar</t>
  </si>
  <si>
    <t>Precio Uni</t>
  </si>
  <si>
    <t>Año</t>
  </si>
  <si>
    <t>Mes</t>
  </si>
  <si>
    <t>Fecha de registro</t>
  </si>
  <si>
    <t>Fecha de entrega</t>
  </si>
  <si>
    <t>Codigo de la venta</t>
  </si>
  <si>
    <t>Sub-total</t>
  </si>
  <si>
    <t>Entregado</t>
  </si>
  <si>
    <t>Servicios echos</t>
  </si>
  <si>
    <t>No.serv.NE</t>
  </si>
  <si>
    <t>Clave del servicio</t>
  </si>
  <si>
    <t>Fecha DR</t>
  </si>
  <si>
    <t>Faltante</t>
  </si>
  <si>
    <t>Encargado PC</t>
  </si>
  <si>
    <t>No.Articulo</t>
  </si>
  <si>
    <t>Pagado</t>
  </si>
  <si>
    <t>sábado</t>
  </si>
  <si>
    <t>mayo</t>
  </si>
  <si>
    <t>no</t>
  </si>
  <si>
    <t>DARPC9771-NO28</t>
  </si>
  <si>
    <t>DARPC9771-NO36</t>
  </si>
  <si>
    <t>Monto</t>
  </si>
  <si>
    <t xml:space="preserve">Fecha </t>
  </si>
  <si>
    <t>Tipo de ingreso</t>
  </si>
  <si>
    <t>Resto</t>
  </si>
  <si>
    <t>31/05/2024</t>
  </si>
  <si>
    <t>Motivo de eliminacion</t>
  </si>
  <si>
    <t>Fecha de eliminacion</t>
  </si>
  <si>
    <t>Clave de servicio</t>
  </si>
  <si>
    <t>Cliente</t>
  </si>
  <si>
    <t>Total dinero del dia</t>
  </si>
  <si>
    <t>Sub total factura</t>
  </si>
  <si>
    <t>Claves servicio</t>
  </si>
  <si>
    <t>servicios</t>
  </si>
  <si>
    <t>Dia desglosado</t>
  </si>
  <si>
    <t xml:space="preserve">Mes </t>
  </si>
  <si>
    <t>Semana</t>
  </si>
  <si>
    <t>Fecha</t>
  </si>
  <si>
    <t>Montos desglosados</t>
  </si>
  <si>
    <t>Interfaz usuario Polar Clean</t>
  </si>
  <si>
    <t>Interfaz Administrador</t>
  </si>
  <si>
    <t>junio</t>
  </si>
  <si>
    <t>Turno Iniciado</t>
  </si>
  <si>
    <t>Empleado</t>
  </si>
  <si>
    <t>Hora de llegada</t>
  </si>
  <si>
    <t>Hora de salida</t>
  </si>
  <si>
    <t>Semana del turno 1</t>
  </si>
  <si>
    <t>Semana del turno 2</t>
  </si>
  <si>
    <t>Dia de trabajo</t>
  </si>
  <si>
    <t>Registro de entrada y salida</t>
  </si>
  <si>
    <t>Servicios</t>
  </si>
  <si>
    <t>DARPC9771-NO59</t>
  </si>
  <si>
    <t>Dias</t>
  </si>
  <si>
    <t>DARPC9771-NO60</t>
  </si>
  <si>
    <t>DARPC9771-NO61</t>
  </si>
  <si>
    <t>DARPC9771-NO62</t>
  </si>
  <si>
    <t>DARPC9771-NO63</t>
  </si>
  <si>
    <t>DARPC9771-NO64</t>
  </si>
  <si>
    <t>DARPC9771-NO65</t>
  </si>
  <si>
    <t>PP2</t>
  </si>
  <si>
    <t>PP3</t>
  </si>
  <si>
    <t>PP4</t>
  </si>
  <si>
    <t>PP5</t>
  </si>
  <si>
    <t>PP6</t>
  </si>
  <si>
    <t>PP7</t>
  </si>
  <si>
    <t>Total dinero de la semana</t>
  </si>
  <si>
    <t>Semanas</t>
  </si>
  <si>
    <t>Semana desglosada</t>
  </si>
  <si>
    <t>Mes desglosado</t>
  </si>
  <si>
    <t>Año desglosado</t>
  </si>
  <si>
    <t>Concepto</t>
  </si>
  <si>
    <t>Registro de ingresos por dia: Solo Lavaneria</t>
  </si>
  <si>
    <t>Hora de registro</t>
  </si>
  <si>
    <t>Fecha actual</t>
  </si>
  <si>
    <t>Semana actual</t>
  </si>
  <si>
    <t>Fecha en el registro 1</t>
  </si>
  <si>
    <t>Fecha en el registro 7</t>
  </si>
  <si>
    <t>Suma de pasivos de la sem.</t>
  </si>
  <si>
    <t>Indicador PTL</t>
  </si>
  <si>
    <t>Indicador TTSL</t>
  </si>
  <si>
    <t>Indicador RSL</t>
  </si>
  <si>
    <t>Registro de pasivos por semana</t>
  </si>
  <si>
    <t>Monto desglosado</t>
  </si>
  <si>
    <t>Monto total</t>
  </si>
  <si>
    <t>Fechas</t>
  </si>
  <si>
    <t>Conceptos</t>
  </si>
  <si>
    <t>Registro de ingresos por Semana: Solo Lavaneria</t>
  </si>
  <si>
    <t>Suma de pasivos de la sem.Permanente</t>
  </si>
  <si>
    <t>Suma de Activos de la sem.Permanente</t>
  </si>
  <si>
    <t>Activo</t>
  </si>
  <si>
    <t>Pasivo</t>
  </si>
  <si>
    <t>Total  Neto</t>
  </si>
  <si>
    <t>Registro de ingreso Neto por Semana</t>
  </si>
  <si>
    <t>Registro de ingreso Neto por Mes</t>
  </si>
  <si>
    <t>liberar reporte</t>
  </si>
  <si>
    <t>julio</t>
  </si>
  <si>
    <t>semanas por mes</t>
  </si>
  <si>
    <t>Semanas unicas</t>
  </si>
  <si>
    <t>Meses unicos</t>
  </si>
  <si>
    <t>Nombres</t>
  </si>
  <si>
    <t>Nombres unicos</t>
  </si>
  <si>
    <t>Registro de pasivos por mes</t>
  </si>
  <si>
    <t>Registro de ingresos por mes: Solo Lavaneria</t>
  </si>
  <si>
    <t>Registro de ingreso Neto por mes</t>
  </si>
  <si>
    <t>Totales Netos</t>
  </si>
  <si>
    <t>Total neto mes</t>
  </si>
  <si>
    <t>Monto del mes</t>
  </si>
  <si>
    <t>Suma de pasivos por semana</t>
  </si>
  <si>
    <t>correctivo</t>
  </si>
  <si>
    <t>hola,hola2</t>
  </si>
  <si>
    <t>-100,-200</t>
  </si>
  <si>
    <t>07/03/2024,03/07/2024</t>
  </si>
  <si>
    <t>Estatus</t>
  </si>
  <si>
    <t>Fecha serv.parcial</t>
  </si>
  <si>
    <t>Serv.parcial</t>
  </si>
  <si>
    <t>Nota</t>
  </si>
  <si>
    <t>Fecha serv.Total</t>
  </si>
  <si>
    <t>Serv.Total</t>
  </si>
  <si>
    <t>Hora</t>
  </si>
  <si>
    <t>Control lavado</t>
  </si>
  <si>
    <t>fecha actual</t>
  </si>
  <si>
    <t>Turno Matutino</t>
  </si>
  <si>
    <t>Total Turno Matutino</t>
  </si>
  <si>
    <t>Total Turno Vespertino</t>
  </si>
  <si>
    <t>N/A</t>
  </si>
  <si>
    <t>Indicadores fin del dia</t>
  </si>
  <si>
    <t>Veces que se apreto FinDia</t>
  </si>
  <si>
    <t>Indicador interfar admi</t>
  </si>
  <si>
    <t>PROMOCION ROPA 20% KG LAVADO</t>
  </si>
  <si>
    <t>CAMISA TINTORERIA</t>
  </si>
  <si>
    <t>BOLSA PZA GRANEL</t>
  </si>
  <si>
    <t>PROMOCION EDREDON IND 3X2 LAVADO</t>
  </si>
  <si>
    <t>PANTALON TINTORERIA</t>
  </si>
  <si>
    <t>CLORO LITRO GRANEL</t>
  </si>
  <si>
    <t>PROMOCION EDREDON MAT 3X2 LAVADO</t>
  </si>
  <si>
    <t>SACO TINTORERIA</t>
  </si>
  <si>
    <t>JABON LITRO GRANEL</t>
  </si>
  <si>
    <t>PROMOCION EDREDON KING SIZE 3X2 LAVADO</t>
  </si>
  <si>
    <t>PLAYERA/POLO TINTORERIA</t>
  </si>
  <si>
    <t>SUAVITEL LITRO GRANEL</t>
  </si>
  <si>
    <t>FALDA SENCILLA TINTORERIA</t>
  </si>
  <si>
    <t>FABULOSO LITRO GRANEL</t>
  </si>
  <si>
    <t>BLUSA SENCILLA TINTORERIA</t>
  </si>
  <si>
    <t>DESENGRASANTE GRANEL</t>
  </si>
  <si>
    <t>CORBATA TINTORERIA</t>
  </si>
  <si>
    <t>TRAJE 2 PZ TINTORERIA</t>
  </si>
  <si>
    <t>PROMOCION 12 PZS S/GANCHO PLANCHADO</t>
  </si>
  <si>
    <t>TRAJE 3 PIEZAS TINTORERIA</t>
  </si>
  <si>
    <t>PROMOCION 12 PZS C/GANCHO PLANCHADO</t>
  </si>
  <si>
    <t>VESTIDO CORTO TINTORERIA</t>
  </si>
  <si>
    <t>ESPECIAL MAYOR A 30 KG LAVADO Y SECADO</t>
  </si>
  <si>
    <t>VESTIDO LARGO TINTORERIA</t>
  </si>
  <si>
    <t>ROPA INTERIOR LAVADO Y SECADO PZA</t>
  </si>
  <si>
    <t>VESTIDO C/APLICACIONES TINTORERIA</t>
  </si>
  <si>
    <t>ROPA KG LAVADO Y SECADO</t>
  </si>
  <si>
    <t>CHAMARRA SENCILLA TINTORERIA</t>
  </si>
  <si>
    <t>ROPA KG LAVADO EXPRESS</t>
  </si>
  <si>
    <t>CHAMARRA LARGA TINTORERIA</t>
  </si>
  <si>
    <t>ROPA KG LAVADO</t>
  </si>
  <si>
    <t>CHAMARRA PLUMA TINTORERIA</t>
  </si>
  <si>
    <t>ROPA PZA SECADO Y CENTRIFUGADO</t>
  </si>
  <si>
    <t>CHALECO PLUMA TINTORERIA</t>
  </si>
  <si>
    <t>TOALLA KG LAVADO Y SECADO</t>
  </si>
  <si>
    <t>CHAMARRA PIEL TINTORERIA</t>
  </si>
  <si>
    <t>EDREDON INDIVIDUAL LAVADO</t>
  </si>
  <si>
    <t>SUETER SENCILLO TINTORERIA</t>
  </si>
  <si>
    <t>EDREDON MATRIMONIAL LAVADO</t>
  </si>
  <si>
    <t>GABARDINA CORTA TINTORERIA</t>
  </si>
  <si>
    <t>EDREDON MATRIMONIAL JUMBO LAVADO</t>
  </si>
  <si>
    <t>GABARDINA MEDIANA TINTORERIA</t>
  </si>
  <si>
    <t>EDREDON KING SIZE/QUEEN LAVADO</t>
  </si>
  <si>
    <t>GABARDINA LARGA TINTORERIA</t>
  </si>
  <si>
    <t>COBIJA/COLCHA DELGADA LAVADO</t>
  </si>
  <si>
    <t>TAPETE M2 TINTORERIA</t>
  </si>
  <si>
    <t>COBIJA/COLCHA GRUESA LAVADO</t>
  </si>
  <si>
    <t>ABRIGO SENCILLO TINTORERIA</t>
  </si>
  <si>
    <t>COBERTOR T/BEBE LAVADO</t>
  </si>
  <si>
    <t>ABRIGO MEDIANO TINTORERIA</t>
  </si>
  <si>
    <t>FRAZADA INDIVIDUAL LAVADO</t>
  </si>
  <si>
    <t>ABRIGO LARGO TINTORERIA</t>
  </si>
  <si>
    <t>FRAZADA MATRIMONIAL LAVADO</t>
  </si>
  <si>
    <t>SUDADERA SENCILLA TINTORERIA</t>
  </si>
  <si>
    <t>ALMOHADA CHICA LAVADO</t>
  </si>
  <si>
    <t>SUDADERA CON GORRO TINTORERIA</t>
  </si>
  <si>
    <t>ALMOHADA MEDIANA LAVADO</t>
  </si>
  <si>
    <t>EDREDON IND TINTORERIA</t>
  </si>
  <si>
    <t>ALMOHADA GRANDE LAVADO</t>
  </si>
  <si>
    <t>EDREDON MAT TINTORERIA</t>
  </si>
  <si>
    <t>SABANAS JUEGO LAVADO</t>
  </si>
  <si>
    <t>EDREDON QUEEN TINTORERIA</t>
  </si>
  <si>
    <t>MANTELES PAR LAVADO</t>
  </si>
  <si>
    <t>EDREDON KING TINTORERIA</t>
  </si>
  <si>
    <t>CORTINAS PAR DELGADO LAVADO</t>
  </si>
  <si>
    <t>CUBRECOLCHON SOGNARE TINTORERIA</t>
  </si>
  <si>
    <t>CORTINAS PAR GRUESO LAVADO</t>
  </si>
  <si>
    <t>CUBRECOLCHON NIKKEN TINTORERIA</t>
  </si>
  <si>
    <t>TENIS PAR LAVADO</t>
  </si>
  <si>
    <t>EDREDON IND PLUMA TINTORERIA</t>
  </si>
  <si>
    <t>CHAMARRA CORTA PZA LAVADO</t>
  </si>
  <si>
    <t>EDREDON MAT PLUMA TINTORERIA</t>
  </si>
  <si>
    <t>ABRIGO CORTO LAVADO</t>
  </si>
  <si>
    <t>ABRIGO LARGO LAVADO</t>
  </si>
  <si>
    <t>PALATZO  TINTORERIA</t>
  </si>
  <si>
    <t>GABARDINA CORTA LAVADO</t>
  </si>
  <si>
    <t>ALMOHADA TINTORERIA</t>
  </si>
  <si>
    <t>GABARDINA LARGA LAVADO</t>
  </si>
  <si>
    <t>COJIN TINTORERIA</t>
  </si>
  <si>
    <t>OVEROL PZA LAVADO</t>
  </si>
  <si>
    <t>MANTEL/CORTINA TINTORERIA</t>
  </si>
  <si>
    <t>VESTIDO CORTO LAVADO</t>
  </si>
  <si>
    <t>GANCHO PZA  TINTORERIA</t>
  </si>
  <si>
    <t>VESTIDO LARGO LAVADO</t>
  </si>
  <si>
    <t>VESTIDO AMPON CORTO LAVADO</t>
  </si>
  <si>
    <t>VESTIDO AMPON LARGO LAVADO</t>
  </si>
  <si>
    <t>VESTIDO NOVIA/XV AÑOS LAVADO</t>
  </si>
  <si>
    <t>CAMISA PLANCHADO</t>
  </si>
  <si>
    <t>PANTALON PLANCHADO</t>
  </si>
  <si>
    <t>SACO PLANCHADO</t>
  </si>
  <si>
    <t>CHAMARRA GAMUZA PLANCHADO</t>
  </si>
  <si>
    <t>ABRIGO LARGO/CORTO PLANCHADO</t>
  </si>
  <si>
    <t>GABARDINA LARGA/CORTA PLANCHADO</t>
  </si>
  <si>
    <t>VESTIDO CORTO PLANCHADO</t>
  </si>
  <si>
    <t>VESTIDO LARGO PLANCHADO</t>
  </si>
  <si>
    <t>VESTIDO 15AÑOS/NOVIA PLANCHADO</t>
  </si>
  <si>
    <t>TRAJE 3 PZS PLANCHADO</t>
  </si>
  <si>
    <t>OTRA PIEZA PLANCHADO</t>
  </si>
  <si>
    <t>SUAVIZANTE EXTRA X KG LAVADO</t>
  </si>
  <si>
    <t>JABON EXTRA X KG LAVADO</t>
  </si>
  <si>
    <t>DESENGRASANTE EXTRA X KG LAVADO</t>
  </si>
  <si>
    <t>CLORO X KG LAVADO</t>
  </si>
  <si>
    <t>ALMIDON X PIEZA PLANCHADO</t>
  </si>
  <si>
    <t>LAVANDERIA</t>
  </si>
  <si>
    <t>TINTORERIA</t>
  </si>
  <si>
    <t>GRANEL</t>
  </si>
  <si>
    <t>Dinero al iniciar turno</t>
  </si>
  <si>
    <t>Dinero al finalizar el truno</t>
  </si>
  <si>
    <t>Registro de ingresos caja</t>
  </si>
  <si>
    <t>octubre</t>
  </si>
  <si>
    <t>unicos</t>
  </si>
  <si>
    <t>NO</t>
  </si>
  <si>
    <t>N/A1</t>
  </si>
  <si>
    <t>N/A2</t>
  </si>
  <si>
    <t>Contraseña</t>
  </si>
  <si>
    <t>Princesa99R@</t>
  </si>
  <si>
    <t>Despliegue del excel</t>
  </si>
  <si>
    <t>26/10/2024</t>
  </si>
  <si>
    <t>jueves</t>
  </si>
  <si>
    <t>50, 50</t>
  </si>
  <si>
    <t>VICTOR ARZOLA</t>
  </si>
  <si>
    <t>VICPC2045</t>
  </si>
  <si>
    <t>28/10/2024</t>
  </si>
  <si>
    <t>13, 2</t>
  </si>
  <si>
    <t>3, 1</t>
  </si>
  <si>
    <t>19.4, 116</t>
  </si>
  <si>
    <t>58, 116</t>
  </si>
  <si>
    <t>VICPC2045-NO2</t>
  </si>
  <si>
    <t>SI/PAGADO</t>
  </si>
  <si>
    <t>3, 2</t>
  </si>
  <si>
    <t>1, 1</t>
  </si>
  <si>
    <t>VICPC2045-NO3</t>
  </si>
  <si>
    <t>VICPC2045-NO4</t>
  </si>
  <si>
    <t>DIANA DELGADILLO JUAREZ</t>
  </si>
  <si>
    <t>KATIA CAMPOS GUTIERREZ</t>
  </si>
  <si>
    <t>CHAMARRA GRUESA PZA LAVADO</t>
  </si>
  <si>
    <t>CUBRECOLCHON INDIVIDUAL LAVADO</t>
  </si>
  <si>
    <t>CUBRECOLCHON MATRIMONIAL LAVADO</t>
  </si>
  <si>
    <t>MANTELES PAR PLANCHADO</t>
  </si>
  <si>
    <t>CORTINAS PZA PLANCHADO</t>
  </si>
  <si>
    <t>BATA PZA PLANCHADO</t>
  </si>
  <si>
    <t>PROMOCION TRAJE 3 PZS TINTORERIA</t>
  </si>
  <si>
    <t>PROMOCION DESCUENTO TINTORERIA</t>
  </si>
  <si>
    <t>noviembre</t>
  </si>
  <si>
    <t>ANTONIO SILVERIO</t>
  </si>
  <si>
    <t>ANTPC6066</t>
  </si>
  <si>
    <t>9, 1</t>
  </si>
  <si>
    <t>19.5, 15.6</t>
  </si>
  <si>
    <t>20, 16</t>
  </si>
  <si>
    <t>domingo</t>
  </si>
  <si>
    <t>ANTPC6066-NO5</t>
  </si>
  <si>
    <t>3, 5</t>
  </si>
  <si>
    <t>140, 130</t>
  </si>
  <si>
    <t>ANTPC6066-NO6</t>
  </si>
  <si>
    <t>01/11/2024</t>
  </si>
  <si>
    <t>MARIA DOLORES MORENO</t>
  </si>
  <si>
    <t>MARPC3607</t>
  </si>
  <si>
    <t>20, 10</t>
  </si>
  <si>
    <t>42.3, 24.3</t>
  </si>
  <si>
    <t>42, 24</t>
  </si>
  <si>
    <t>MARPC3607-NO7</t>
  </si>
  <si>
    <t>4, 2</t>
  </si>
  <si>
    <t>50,-20</t>
  </si>
  <si>
    <t>150,-20</t>
  </si>
  <si>
    <t>MARPC3607-NO8</t>
  </si>
  <si>
    <t>TOMAS FLORES</t>
  </si>
  <si>
    <t>TOMPC7898</t>
  </si>
  <si>
    <t>ALAN MOLINA</t>
  </si>
  <si>
    <t>ALAPC3619</t>
  </si>
  <si>
    <t>lunes</t>
  </si>
  <si>
    <t>ALAPC3619-NO9</t>
  </si>
  <si>
    <t>TOMPC7898-NO10</t>
  </si>
  <si>
    <t>02/11/2024</t>
  </si>
  <si>
    <t>EMPLEADA 1</t>
  </si>
  <si>
    <t>CALLE DE LA PAZ #146, SAN MATEO ATENCO, EDO. MEXICO.</t>
  </si>
  <si>
    <t>Vespertino</t>
  </si>
  <si>
    <t>PM</t>
  </si>
  <si>
    <t>EMPLEADA 2</t>
  </si>
  <si>
    <t>AV BENITO JUREZ, FARM BENAVIDES, SAN MATEO ATENCO, EDO. MEXICO</t>
  </si>
  <si>
    <t>Matutino</t>
  </si>
  <si>
    <t>ALAPC3619-NO11</t>
  </si>
  <si>
    <t>SINAHI JUAREZ</t>
  </si>
  <si>
    <t>SINPC02010</t>
  </si>
  <si>
    <t>3, 6</t>
  </si>
  <si>
    <t>0.3, .1</t>
  </si>
  <si>
    <t>18, 20</t>
  </si>
  <si>
    <t>5, 2</t>
  </si>
  <si>
    <t>SINPC02010-NO12</t>
  </si>
  <si>
    <t>ALEJANDRO GONSALEZ</t>
  </si>
  <si>
    <t>ALEPC65511</t>
  </si>
  <si>
    <t>ALEPC65511-NO13</t>
  </si>
  <si>
    <t>Parcial</t>
  </si>
  <si>
    <t>9, 61</t>
  </si>
  <si>
    <t>2.095, 1</t>
  </si>
  <si>
    <t>19.5, 4.85</t>
  </si>
  <si>
    <t>41, 5</t>
  </si>
  <si>
    <t>TOMPC7898-NO14</t>
  </si>
  <si>
    <t>EMANUEL EDGAR VALECIA MAYA</t>
  </si>
  <si>
    <t>EMAPC23712</t>
  </si>
  <si>
    <t>EMAPC23712-NO15</t>
  </si>
  <si>
    <t xml:space="preserve">SECAR </t>
  </si>
  <si>
    <t>ALAPC3619-NO11,SINPC02010-NO12,ALEPC65511-NO13,TOMPC7898-NO14,EMAPC23712-NO15</t>
  </si>
  <si>
    <t>LAVANDERIA,GRANEL,LAVANDERIA,LAVANDERIA,LAVANDERIA</t>
  </si>
  <si>
    <t>48, 7, 0, 46, 70</t>
  </si>
  <si>
    <t>Total,Total,Parcial,Total,Total</t>
  </si>
  <si>
    <t>BRENDA LABRADOR</t>
  </si>
  <si>
    <t>BREPC27413</t>
  </si>
  <si>
    <t>martes</t>
  </si>
  <si>
    <t>BREPC27413-NO16</t>
  </si>
  <si>
    <t>ESTEFANIA ORTIZ DIAZ</t>
  </si>
  <si>
    <t>ESTPC78914</t>
  </si>
  <si>
    <t>22/06/2024</t>
  </si>
  <si>
    <t>19, 18</t>
  </si>
  <si>
    <t>63, 45</t>
  </si>
  <si>
    <t>189, 45</t>
  </si>
  <si>
    <t>ESTPC78914-NO17</t>
  </si>
  <si>
    <t>SINPC02010-NO18</t>
  </si>
  <si>
    <t>ALEXANDRO ZEPEDA</t>
  </si>
  <si>
    <t>ALEPC78915</t>
  </si>
  <si>
    <t>30/09/2024</t>
  </si>
  <si>
    <t>ALEPC78915-NO19</t>
  </si>
  <si>
    <t>MIRIAM</t>
  </si>
  <si>
    <t>MIRPC41116</t>
  </si>
  <si>
    <t>15, 17</t>
  </si>
  <si>
    <t>70, 88</t>
  </si>
  <si>
    <t>MIRPC41116-NO20</t>
  </si>
  <si>
    <t>AMAYRANY</t>
  </si>
  <si>
    <t>AMAPC78917</t>
  </si>
  <si>
    <t>21, 14</t>
  </si>
  <si>
    <t>30, 58</t>
  </si>
  <si>
    <t>AMAPC78917-NO21</t>
  </si>
  <si>
    <t>LIDIA ALDAMA</t>
  </si>
  <si>
    <t>LIDPC78918</t>
  </si>
  <si>
    <t>21/10/2024</t>
  </si>
  <si>
    <t>LIDPC78918-NO22</t>
  </si>
  <si>
    <t>VICPC20419</t>
  </si>
  <si>
    <t>19/10/2024</t>
  </si>
  <si>
    <t>9, 8</t>
  </si>
  <si>
    <t>8.56, 3</t>
  </si>
  <si>
    <t>19.5, 4</t>
  </si>
  <si>
    <t>167, 12</t>
  </si>
  <si>
    <t>VICPC2045-NO23</t>
  </si>
  <si>
    <t>ALBERTO NAVA</t>
  </si>
  <si>
    <t>ALBPC90220</t>
  </si>
  <si>
    <t>30/10/2024</t>
  </si>
  <si>
    <t>25, 30, 25</t>
  </si>
  <si>
    <t>1, 1, 1</t>
  </si>
  <si>
    <t>38, 35, 38</t>
  </si>
  <si>
    <t>ALBPC90220-NO24</t>
  </si>
  <si>
    <t>LOURDES AGUILAR</t>
  </si>
  <si>
    <t>LOUPC61221</t>
  </si>
  <si>
    <t>LOUPC61221-NO25</t>
  </si>
  <si>
    <t>29/10/2024</t>
  </si>
  <si>
    <t>ALAPC3619-NO26</t>
  </si>
  <si>
    <t>VICTOR GARCIA</t>
  </si>
  <si>
    <t>VICPC80622</t>
  </si>
  <si>
    <t>9, 13, 5, 45, 46</t>
  </si>
  <si>
    <t>8.42, .605, 1, 2, 4</t>
  </si>
  <si>
    <t>19.5, 27.8, 130, 13, 13</t>
  </si>
  <si>
    <t>164, 17, 130, 26, 52</t>
  </si>
  <si>
    <t>VICPC80622-NO27</t>
  </si>
  <si>
    <t>JAVIER FRANCO GONZALEZ</t>
  </si>
  <si>
    <t>JAVPC95023</t>
  </si>
  <si>
    <t>9, 31, 13</t>
  </si>
  <si>
    <t>4.2, 2, .535</t>
  </si>
  <si>
    <t>19.5, 35, 27.8</t>
  </si>
  <si>
    <t>82, 70, 15</t>
  </si>
  <si>
    <t>JAVPC95023-NO28</t>
  </si>
  <si>
    <t>JEAN PIERRE RAMOS</t>
  </si>
  <si>
    <t>JEAPC93624</t>
  </si>
  <si>
    <t>JEAPC93624-NO29</t>
  </si>
  <si>
    <t>JAVIER SALGADO SOLIS</t>
  </si>
  <si>
    <t>JAVPC67825</t>
  </si>
  <si>
    <t>JAVPC67825-NO30</t>
  </si>
  <si>
    <t>BLADIMIR REYES</t>
  </si>
  <si>
    <t>BLAPC38026</t>
  </si>
  <si>
    <t>BLAPC38026-NO31</t>
  </si>
  <si>
    <t>MIGUEL RAMIREZ</t>
  </si>
  <si>
    <t>MIGPC67827</t>
  </si>
  <si>
    <t>MIGPC67827-NO32</t>
  </si>
  <si>
    <t>EDUARDO ZARZA</t>
  </si>
  <si>
    <t>EDUPC03928</t>
  </si>
  <si>
    <t>EDUPC03928-NO33</t>
  </si>
  <si>
    <t>CRISTINA CARPIO CRUZ</t>
  </si>
  <si>
    <t>CRIPC67829</t>
  </si>
  <si>
    <t>15, 18, 26</t>
  </si>
  <si>
    <t>1, 2, 1</t>
  </si>
  <si>
    <t>70, 45, 20</t>
  </si>
  <si>
    <t>70, 90, 20</t>
  </si>
  <si>
    <t>CRIPC67829-NO34</t>
  </si>
  <si>
    <t xml:space="preserve"> 135</t>
  </si>
  <si>
    <t>CRIPC67829-NO35</t>
  </si>
  <si>
    <t>FERNANDA HINOJOSA</t>
  </si>
  <si>
    <t>FERPC54030</t>
  </si>
  <si>
    <t>FERPC54030-NO36</t>
  </si>
  <si>
    <t>FERPC54030-NO37</t>
  </si>
  <si>
    <t>ADRIANA RIVERA</t>
  </si>
  <si>
    <t>ADRPC20931</t>
  </si>
  <si>
    <t>ADRPC20931-NO38</t>
  </si>
  <si>
    <t>EDGAR NAVA</t>
  </si>
  <si>
    <t>EDGPC67832</t>
  </si>
  <si>
    <t>EDGPC67832-NO39</t>
  </si>
  <si>
    <t>ALBPC90233</t>
  </si>
  <si>
    <t>ALBPC90220-NO40</t>
  </si>
  <si>
    <t>ALONDRA CAMPOS</t>
  </si>
  <si>
    <t>ALOPC25634</t>
  </si>
  <si>
    <t>ALOPC25634-</t>
  </si>
  <si>
    <t>NO41</t>
  </si>
  <si>
    <t>ALOPC25634-NO41</t>
  </si>
  <si>
    <t>FALTA DOBLAR Y EMPACAR</t>
  </si>
  <si>
    <t>BREPC27413-NO16,ESTPC78914-NO17,SINPC02010-NO18,ALEPC78915-NO19,MIRPC41116-NO20,AMAPC78917-NO21,LIDPC78918-NO22,VICPC2045-NO23,ALBPC90220-NO24,LOUPC61221-NO25,ALAPC3619-NO26,VICPC80622-NO27,JAVPC95023-NO28,JEAPC93624-NO29,JAVPC67825-NO30,BLAPC38026-NO31,MIGPC67827-NO32,EDUPC03928-NO33,CRIPC67829-NO34,CRIPC67829-NO35,FERPC54030-NO36,FERPC54030-NO37,ADRPC20931-NO38,EDGPC67832-NO39,ALBPC90220-NO40,ALOPC25634-NO41</t>
  </si>
  <si>
    <t>LAVANDERIA,LAVANDERIA,LAVANDERIA,LAVANDERIA,LAVANDERIA,LAVANDERIA,LAVANDERIA,LAVANDERIA,LAVANDERIA,LAVANDERIA,LAVANDERIA,LAVANDERIA,LAVANDERIA,LAVANDERIA,TINTORERIA,LAVANDERIA,LAVANDERIA,LAVANDERIA,LAVANDERIA,LAVANDERIA,LAVANDERIA,LAVANDERIA,LAVANDERIA,LAVANDERIA,LAVANDERIA,LAVANDERIA</t>
  </si>
  <si>
    <t>66, 0, 0, 0, 0, 0, 80, 0, 100, 0, 23, 218, 167, 46, 100, 0, 0, 0, 180, 35, 0, 0, 101, 0, 0, 47</t>
  </si>
  <si>
    <t>Total,Parcial,Parcial,Parcial,Parcial,Parcial,Total,Parcial,Parcial,Parcial,Total,Parcial,Total,Total,Total,Parcial,Parcial,Parcial,Total,Parcial,Parcial,Parcial,Total,Parcial,Parcial,Total</t>
  </si>
  <si>
    <t>03/11/2024</t>
  </si>
  <si>
    <t>Sueldos,Garrafon de agua</t>
  </si>
  <si>
    <t>-200,-100</t>
  </si>
  <si>
    <t>11/03/2024,03/11/2024</t>
  </si>
  <si>
    <t>02/11/2024,03/11/2024</t>
  </si>
  <si>
    <t>171, 1163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</si>
</sst>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1"/>
      <color theme="1"/>
      <name val="Tahoma"/>
      <family val="2"/>
    </font>
    <font>
      <sz val="8"/>
      <name val="Aptos Narrow"/>
      <family val="2"/>
      <scheme val="minor"/>
    </font>
    <font>
      <b/>
      <sz val="18"/>
      <color theme="3" tint="0.499984740745262"/>
      <name val="Tahoma"/>
      <family val="2"/>
    </font>
    <font>
      <sz val="10"/>
      <color theme="1"/>
      <name val="Aptos Narrow"/>
      <family val="2"/>
      <scheme val="minor"/>
    </font>
    <font>
      <b/>
      <sz val="11"/>
      <color theme="3" tint="0.499984740745262"/>
      <name val="Tahoma"/>
      <family val="2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/>
      <diagonal/>
    </border>
    <border>
      <left style="medium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rgb="FFFFFF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8"/>
      </left>
      <right/>
      <top style="medium">
        <color indexed="64"/>
      </top>
      <bottom style="mediumDashDotDot">
        <color indexed="8"/>
      </bottom>
      <diagonal/>
    </border>
    <border>
      <left/>
      <right/>
      <top style="medium">
        <color indexed="64"/>
      </top>
      <bottom style="mediumDashDotDot">
        <color indexed="8"/>
      </bottom>
      <diagonal/>
    </border>
    <border>
      <left/>
      <right style="medium">
        <color indexed="8"/>
      </right>
      <top style="medium">
        <color indexed="64"/>
      </top>
      <bottom style="mediumDashDotDot">
        <color indexed="8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8" xfId="0" applyBorder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10" xfId="0" applyFont="1" applyBorder="1" applyAlignment="1">
      <alignment horizontal="left"/>
    </xf>
    <xf numFmtId="1" fontId="0" fillId="0" borderId="0" xfId="0" applyNumberFormat="1"/>
    <xf numFmtId="0" fontId="4" fillId="0" borderId="11" xfId="0" applyFont="1" applyBorder="1" applyAlignment="1">
      <alignment horizontal="center"/>
    </xf>
    <xf numFmtId="0" fontId="4" fillId="0" borderId="12" xfId="0" applyFont="1" applyBorder="1"/>
    <xf numFmtId="0" fontId="7" fillId="0" borderId="9" xfId="0" applyFont="1" applyBorder="1" applyAlignment="1">
      <alignment wrapText="1"/>
    </xf>
    <xf numFmtId="14" fontId="0" fillId="0" borderId="0" xfId="0" applyNumberFormat="1"/>
    <xf numFmtId="0" fontId="4" fillId="0" borderId="20" xfId="0" applyFont="1" applyBorder="1" applyAlignment="1">
      <alignment horizontal="right"/>
    </xf>
    <xf numFmtId="0" fontId="4" fillId="0" borderId="22" xfId="0" applyFont="1" applyBorder="1" applyAlignment="1">
      <alignment horizontal="left"/>
    </xf>
    <xf numFmtId="14" fontId="0" fillId="0" borderId="22" xfId="0" applyNumberFormat="1" applyBorder="1"/>
    <xf numFmtId="0" fontId="4" fillId="0" borderId="25" xfId="0" applyFont="1" applyBorder="1"/>
    <xf numFmtId="14" fontId="4" fillId="0" borderId="10" xfId="0" applyNumberFormat="1" applyFont="1" applyBorder="1" applyAlignment="1">
      <alignment horizontal="center" wrapText="1"/>
    </xf>
    <xf numFmtId="20" fontId="4" fillId="0" borderId="10" xfId="0" applyNumberFormat="1" applyFont="1" applyBorder="1" applyAlignment="1">
      <alignment horizontal="center" wrapText="1"/>
    </xf>
    <xf numFmtId="0" fontId="0" fillId="3" borderId="0" xfId="0" applyFill="1"/>
    <xf numFmtId="0" fontId="4" fillId="0" borderId="24" xfId="0" applyFont="1" applyBorder="1" applyAlignment="1">
      <alignment horizontal="center"/>
    </xf>
    <xf numFmtId="3" fontId="0" fillId="0" borderId="0" xfId="0" applyNumberFormat="1"/>
    <xf numFmtId="0" fontId="0" fillId="4" borderId="0" xfId="0" applyFill="1"/>
    <xf numFmtId="0" fontId="0" fillId="0" borderId="27" xfId="0" applyBorder="1"/>
    <xf numFmtId="0" fontId="0" fillId="0" borderId="28" xfId="0" applyBorder="1"/>
    <xf numFmtId="0" fontId="0" fillId="5" borderId="1" xfId="0" applyFill="1" applyBorder="1"/>
    <xf numFmtId="0" fontId="0" fillId="5" borderId="4" xfId="0" applyFill="1" applyBorder="1"/>
    <xf numFmtId="0" fontId="0" fillId="5" borderId="5" xfId="0" applyFill="1" applyBorder="1"/>
    <xf numFmtId="0" fontId="0" fillId="0" borderId="3" xfId="0" applyBorder="1"/>
    <xf numFmtId="0" fontId="0" fillId="0" borderId="26" xfId="0" applyBorder="1"/>
    <xf numFmtId="0" fontId="0" fillId="0" borderId="7" xfId="0" applyBorder="1" applyAlignment="1">
      <alignment horizontal="right"/>
    </xf>
    <xf numFmtId="0" fontId="0" fillId="6" borderId="29" xfId="0" applyFill="1" applyBorder="1"/>
    <xf numFmtId="0" fontId="0" fillId="6" borderId="30" xfId="0" applyFill="1" applyBorder="1"/>
    <xf numFmtId="14" fontId="0" fillId="6" borderId="29" xfId="0" applyNumberFormat="1" applyFill="1" applyBorder="1"/>
    <xf numFmtId="0" fontId="0" fillId="5" borderId="0" xfId="0" applyFill="1"/>
    <xf numFmtId="19" fontId="0" fillId="0" borderId="0" xfId="0" applyNumberFormat="1"/>
    <xf numFmtId="2" fontId="0" fillId="0" borderId="0" xfId="0" applyNumberFormat="1"/>
    <xf numFmtId="0" fontId="0" fillId="6" borderId="31" xfId="0" applyFill="1" applyBorder="1"/>
    <xf numFmtId="0" fontId="0" fillId="0" borderId="31" xfId="0" applyBorder="1"/>
    <xf numFmtId="0" fontId="8" fillId="5" borderId="0" xfId="0" applyFont="1" applyFill="1"/>
    <xf numFmtId="0" fontId="0" fillId="0" borderId="32" xfId="0" applyBorder="1"/>
    <xf numFmtId="0" fontId="0" fillId="7" borderId="0" xfId="0" applyFill="1"/>
    <xf numFmtId="49" fontId="0" fillId="0" borderId="0" xfId="0" applyNumberFormat="1"/>
    <xf numFmtId="0" fontId="0" fillId="0" borderId="29" xfId="0" applyBorder="1"/>
    <xf numFmtId="20" fontId="0" fillId="0" borderId="0" xfId="0" applyNumberFormat="1"/>
    <xf numFmtId="0" fontId="0" fillId="10" borderId="0" xfId="0" applyFill="1"/>
    <xf numFmtId="0" fontId="9" fillId="0" borderId="0" xfId="0" applyFont="1"/>
    <xf numFmtId="0" fontId="11" fillId="0" borderId="0" xfId="1" applyFont="1"/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34" xfId="0" applyBorder="1"/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wrapText="1"/>
    </xf>
    <xf numFmtId="0" fontId="4" fillId="0" borderId="9" xfId="0" applyFont="1" applyBorder="1" applyAlignment="1">
      <alignment horizontal="center" wrapText="1"/>
    </xf>
    <xf numFmtId="0" fontId="4" fillId="0" borderId="23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2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9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561975</xdr:colOff>
      <xdr:row>2</xdr:row>
      <xdr:rowOff>28575</xdr:rowOff>
    </xdr:from>
    <xdr:to>
      <xdr:col>7</xdr:col>
      <xdr:colOff>66675</xdr:colOff>
      <xdr:row>10</xdr:row>
      <xdr:rowOff>113381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C49796-CFBF-4E22-9827-D23E9B51B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409575"/>
          <a:ext cx="1809750" cy="1608806"/>
        </a:xfrm>
        <a:prstGeom prst="rect">
          <a:avLst/>
        </a:prstGeom>
      </xdr:spPr>
    </xdr:pic>
    <xdr:clientData/>
  </xdr:twoCellAnchor>
  <xdr:twoCellAnchor editAs="oneCell">
    <xdr:from>
      <xdr:col>8</xdr:col>
      <xdr:colOff>215900</xdr:colOff>
      <xdr:row>1</xdr:row>
      <xdr:rowOff>95250</xdr:rowOff>
    </xdr:from>
    <xdr:to>
      <xdr:col>9</xdr:col>
      <xdr:colOff>571500</xdr:colOff>
      <xdr:row>7</xdr:row>
      <xdr:rowOff>152400</xdr:rowOff>
    </xdr:to>
    <xdr:pic macro="[0]!inciarForm">
      <xdr:nvPicPr>
        <xdr:cNvPr id="3" name="Imagen 2">
          <a:extLst>
            <a:ext uri="{FF2B5EF4-FFF2-40B4-BE49-F238E27FC236}">
              <a16:creationId xmlns:a16="http://schemas.microsoft.com/office/drawing/2014/main" id="{F62EA9C1-AA74-F49F-7E1B-5C6FB1905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0900" y="279400"/>
          <a:ext cx="1162050" cy="116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182218</xdr:colOff>
      <xdr:row>1</xdr:row>
      <xdr:rowOff>33131</xdr:rowOff>
    </xdr:from>
    <xdr:to>
      <xdr:col>6</xdr:col>
      <xdr:colOff>554935</xdr:colOff>
      <xdr:row>5</xdr:row>
      <xdr:rowOff>163513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A75A472-BCBE-8A3C-ECDB-F3D221C87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59696" y="231914"/>
          <a:ext cx="1076739" cy="9286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665B49-3AF2-404F-9843-89BF71DC8CBE}" name="Tabla2" displayName="Tabla2" ref="G10:G11" totalsRowShown="0" headerRowDxfId="8" dataDxfId="6" headerRowBorderDxfId="7" tableBorderDxfId="5">
  <autoFilter ref="G10:G11" xr:uid="{9C665B49-3AF2-404F-9843-89BF71DC8CBE}"/>
  <tableColumns count="1">
    <tableColumn id="1" xr3:uid="{9B8692EC-2A78-45EA-8672-9561C1222D4C}" name="Sub-Total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CE0CED-3854-4926-8D64-AB5C255F8828}" name="Tabla1" displayName="Tabla1" ref="S2:U3" totalsRowShown="0">
  <autoFilter ref="S2:U3" xr:uid="{C5CE0CED-3854-4926-8D64-AB5C255F8828}"/>
  <tableColumns count="3">
    <tableColumn id="3" xr3:uid="{ECE4AC78-C72C-4ABF-9393-9198FAA59BBF}" name="Fecha " dataDxfId="3"/>
    <tableColumn id="4" xr3:uid="{6312CF14-3CA6-4C09-B307-677FBC999161}" name="Monto" dataDxfId="2"/>
    <tableColumn id="5" xr3:uid="{0C1E2276-08F4-4DA0-92AD-2055BC5E0E44}" name="Tipo de ingres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799DFB-35F8-4C5B-9DCA-FF40341215C1}" name="Tabla4" displayName="Tabla4" ref="Z2:AE3" totalsRowShown="0">
  <autoFilter ref="Z2:AE3" xr:uid="{A2799DFB-35F8-4C5B-9DCA-FF40341215C1}"/>
  <tableColumns count="6">
    <tableColumn id="3" xr3:uid="{7E16FF9F-887E-40B4-B402-E3285CCC97BC}" name="servicios"/>
    <tableColumn id="4" xr3:uid="{D1C0520C-61AE-46FA-828C-DE02652C1371}" name="Montos desglosados"/>
    <tableColumn id="5" xr3:uid="{52C10315-06D0-4F5F-B6D7-A3DD2CA96E31}" name="Monto"/>
    <tableColumn id="6" xr3:uid="{6A28AF3C-AF1B-4376-8B76-60509E0A33BE}" name="Tipo de ingreso"/>
    <tableColumn id="7" xr3:uid="{B3E0C7A2-BBF4-4259-A349-54CA97E90263}" name="Semana"/>
    <tableColumn id="8" xr3:uid="{8F6DA6B3-66A0-4156-A177-83F165523E23}" name="Me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F9BE550-13B5-40FA-B0B7-AF2ACCF51833}" name="Tabla5" displayName="Tabla5" ref="AJ2:AJ3" totalsRowShown="0">
  <autoFilter ref="AJ2:AJ3" xr:uid="{1F9BE550-13B5-40FA-B0B7-AF2ACCF51833}"/>
  <tableColumns count="1">
    <tableColumn id="4" xr3:uid="{DF134498-ED34-403E-A652-A803A0E2B181}" name="Mon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45D99A-FF8D-44CF-AA58-EF1D1B7CFB3C}" name="Tabla7" displayName="Tabla7" ref="AV2:AV3" totalsRowShown="0">
  <autoFilter ref="AV2:AV3" xr:uid="{AE45D99A-FF8D-44CF-AA58-EF1D1B7CFB3C}"/>
  <tableColumns count="1">
    <tableColumn id="1" xr3:uid="{0FD831E4-E39B-49FF-8143-9927F2A41825}" name="Mont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727001-6FDE-45E3-B5F3-4883E6644EB3}" name="Tabla3" displayName="Tabla3" ref="BC2:BC3" totalsRowShown="0">
  <autoFilter ref="BC2:BC3" xr:uid="{B8727001-6FDE-45E3-B5F3-4883E6644EB3}"/>
  <tableColumns count="1">
    <tableColumn id="1" xr3:uid="{6ED6C5B3-5807-4D0E-860C-58A97C21C4FA}" name="Total  Net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FBFE73-21E5-4D96-8355-13E1AD6F9FDB}" name="Tabla6" displayName="Tabla6" ref="H2:H6" totalsRowShown="0" headerRowDxfId="0">
  <autoFilter ref="H2:H6" xr:uid="{18FBFE73-21E5-4D96-8355-13E1AD6F9FDB}"/>
  <tableColumns count="1">
    <tableColumn id="1" xr3:uid="{DAFEEBA0-F916-471D-94A9-649874265836}" name="M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8A2DF65-0DF3-42D4-83CD-0C83A020D1A3}" name="Tabla8" displayName="Tabla8" ref="C1:C4" totalsRowShown="0">
  <autoFilter ref="C1:C4" xr:uid="{E8A2DF65-0DF3-42D4-83CD-0C83A020D1A3}"/>
  <tableColumns count="1">
    <tableColumn id="1" xr3:uid="{2CF6FEC0-CA0B-4904-9864-A7FA38B21929}" name="semanas por m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C78EDE-2DC6-4FBE-8B04-DF71EB6230AC}" name="Tabla9" displayName="Tabla9" ref="G1:G4" totalsRowShown="0">
  <autoFilter ref="G1:G4" xr:uid="{36C78EDE-2DC6-4FBE-8B04-DF71EB6230AC}"/>
  <tableColumns count="1">
    <tableColumn id="1" xr3:uid="{05656C1A-0EA8-4A05-B334-A4D20547F9FF}" name="Nomb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rincesa99R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79C48-36EA-48B5-8F02-FD0E09FB16A6}">
  <sheetPr codeName="Hoja1"/>
  <dimension ref="B3:U62"/>
  <sheetViews>
    <sheetView tabSelected="1" workbookViewId="0">
      <selection activeCell="C10" sqref="C10"/>
    </sheetView>
  </sheetViews>
  <sheetFormatPr baseColWidth="10" defaultRowHeight="14.5" x14ac:dyDescent="0.35"/>
  <cols>
    <col min="2" max="2" width="36.453125" bestFit="1" customWidth="1"/>
    <col min="3" max="3" width="15.453125" bestFit="1" customWidth="1"/>
    <col min="7" max="7" width="11.7265625" bestFit="1" customWidth="1"/>
    <col min="9" max="9" width="11.54296875" customWidth="1"/>
  </cols>
  <sheetData>
    <row r="3" spans="2:21" x14ac:dyDescent="0.35">
      <c r="B3" t="s">
        <v>0</v>
      </c>
      <c r="C3" t="s">
        <v>1</v>
      </c>
      <c r="F3" s="45"/>
      <c r="S3">
        <f>R3+1</f>
        <v>1</v>
      </c>
      <c r="T3">
        <f>S3+1</f>
        <v>2</v>
      </c>
      <c r="U3">
        <f>T3+1</f>
        <v>3</v>
      </c>
    </row>
    <row r="4" spans="2:21" x14ac:dyDescent="0.35">
      <c r="B4" t="s">
        <v>2</v>
      </c>
      <c r="C4">
        <v>0</v>
      </c>
      <c r="E4" s="45" t="s">
        <v>307</v>
      </c>
      <c r="F4" s="46" t="s">
        <v>308</v>
      </c>
    </row>
    <row r="5" spans="2:21" x14ac:dyDescent="0.35">
      <c r="B5" t="s">
        <v>11</v>
      </c>
      <c r="C5">
        <v>0</v>
      </c>
      <c r="E5" s="45" t="s">
        <v>307</v>
      </c>
      <c r="F5" s="45" t="s">
        <v>308</v>
      </c>
    </row>
    <row r="6" spans="2:21" x14ac:dyDescent="0.35">
      <c r="B6" t="s">
        <v>104</v>
      </c>
      <c r="C6">
        <v>0</v>
      </c>
    </row>
    <row r="7" spans="2:21" x14ac:dyDescent="0.35">
      <c r="B7" t="s">
        <v>105</v>
      </c>
      <c r="C7">
        <v>0</v>
      </c>
    </row>
    <row r="8" spans="2:21" x14ac:dyDescent="0.35">
      <c r="B8" t="s">
        <v>192</v>
      </c>
      <c r="C8">
        <v>0</v>
      </c>
    </row>
    <row r="9" spans="2:21" x14ac:dyDescent="0.35">
      <c r="B9" t="s">
        <v>309</v>
      </c>
      <c r="C9">
        <v>0</v>
      </c>
    </row>
    <row r="13" spans="2:21" x14ac:dyDescent="0.35">
      <c r="G13" t="s">
        <v>16</v>
      </c>
    </row>
    <row r="14" spans="2:21" x14ac:dyDescent="0.35">
      <c r="G14" s="2">
        <f>IF(H17 =0, 0,1)</f>
        <v>1</v>
      </c>
    </row>
    <row r="16" spans="2:21" x14ac:dyDescent="0.35">
      <c r="H16" t="s">
        <v>15</v>
      </c>
      <c r="I16" t="s">
        <v>12</v>
      </c>
      <c r="J16" t="s">
        <v>23</v>
      </c>
      <c r="K16" t="s">
        <v>21</v>
      </c>
      <c r="L16" t="s">
        <v>24</v>
      </c>
      <c r="M16" t="s">
        <v>22</v>
      </c>
      <c r="N16" t="s">
        <v>25</v>
      </c>
      <c r="O16" t="s">
        <v>26</v>
      </c>
    </row>
    <row r="17" spans="2:15" x14ac:dyDescent="0.35">
      <c r="H17">
        <v>1</v>
      </c>
      <c r="I17" t="s">
        <v>296</v>
      </c>
      <c r="J17">
        <v>67</v>
      </c>
      <c r="K17" t="s">
        <v>20</v>
      </c>
      <c r="L17">
        <v>68</v>
      </c>
      <c r="M17" t="s">
        <v>17</v>
      </c>
      <c r="N17">
        <v>69</v>
      </c>
      <c r="O17" t="s">
        <v>18</v>
      </c>
    </row>
    <row r="18" spans="2:15" x14ac:dyDescent="0.35">
      <c r="H18">
        <v>2</v>
      </c>
      <c r="I18" t="s">
        <v>297</v>
      </c>
      <c r="J18">
        <v>70</v>
      </c>
      <c r="K18" t="s">
        <v>29</v>
      </c>
      <c r="L18">
        <v>71</v>
      </c>
      <c r="M18" t="s">
        <v>30</v>
      </c>
      <c r="N18">
        <v>72</v>
      </c>
      <c r="O18" t="s">
        <v>31</v>
      </c>
    </row>
    <row r="19" spans="2:15" x14ac:dyDescent="0.35">
      <c r="D19" s="23"/>
      <c r="H19">
        <v>3</v>
      </c>
      <c r="I19" t="s">
        <v>298</v>
      </c>
      <c r="J19">
        <v>73</v>
      </c>
      <c r="K19" t="s">
        <v>32</v>
      </c>
      <c r="L19">
        <v>74</v>
      </c>
      <c r="M19" t="s">
        <v>33</v>
      </c>
      <c r="N19">
        <v>75</v>
      </c>
      <c r="O19" t="s">
        <v>34</v>
      </c>
    </row>
    <row r="23" spans="2:15" x14ac:dyDescent="0.35">
      <c r="B23" t="s">
        <v>57</v>
      </c>
      <c r="C23" s="7">
        <v>41</v>
      </c>
    </row>
    <row r="24" spans="2:15" x14ac:dyDescent="0.35">
      <c r="B24" t="s">
        <v>58</v>
      </c>
      <c r="C24">
        <v>0</v>
      </c>
    </row>
    <row r="25" spans="2:15" ht="15" thickBot="1" x14ac:dyDescent="0.4">
      <c r="B25" t="s">
        <v>96</v>
      </c>
      <c r="C25">
        <f>SUM(Tabla2[Sub-Total])</f>
        <v>0</v>
      </c>
    </row>
    <row r="26" spans="2:15" x14ac:dyDescent="0.35">
      <c r="B26" s="24" t="s">
        <v>95</v>
      </c>
      <c r="C26" s="27">
        <f>SUM(Tabla1[Monto])</f>
        <v>0</v>
      </c>
    </row>
    <row r="27" spans="2:15" x14ac:dyDescent="0.35">
      <c r="B27" s="25" t="s">
        <v>101</v>
      </c>
      <c r="C27" s="28">
        <f>WEEKNUM('RDS-No entregados'!S3,2)</f>
        <v>1</v>
      </c>
    </row>
    <row r="28" spans="2:15" ht="15" thickBot="1" x14ac:dyDescent="0.4">
      <c r="B28" s="26" t="s">
        <v>67</v>
      </c>
      <c r="C28" s="29" t="str">
        <f>TEXT('RDS-No entregados'!S3,"MMMM")</f>
        <v>enero</v>
      </c>
    </row>
    <row r="29" spans="2:15" x14ac:dyDescent="0.35">
      <c r="B29" t="s">
        <v>107</v>
      </c>
      <c r="C29">
        <v>0</v>
      </c>
      <c r="F29" s="22"/>
    </row>
    <row r="30" spans="2:15" x14ac:dyDescent="0.35">
      <c r="B30" s="33" t="s">
        <v>113</v>
      </c>
      <c r="C30" s="11">
        <v>45599</v>
      </c>
    </row>
    <row r="31" spans="2:15" x14ac:dyDescent="0.35">
      <c r="B31" s="33" t="s">
        <v>111</v>
      </c>
      <c r="C31">
        <f>WEEKNUM(C30,2)</f>
        <v>44</v>
      </c>
    </row>
    <row r="32" spans="2:15" x14ac:dyDescent="0.35">
      <c r="B32" s="33" t="s">
        <v>112</v>
      </c>
      <c r="C32">
        <f>WEEKNUM(C30,2)</f>
        <v>44</v>
      </c>
    </row>
    <row r="33" spans="2:4" x14ac:dyDescent="0.35">
      <c r="B33" s="33" t="s">
        <v>130</v>
      </c>
      <c r="C33">
        <f>SUM(Tabla4[Monto])</f>
        <v>0</v>
      </c>
    </row>
    <row r="35" spans="2:4" x14ac:dyDescent="0.35">
      <c r="B35" s="33" t="s">
        <v>138</v>
      </c>
      <c r="C35" s="11">
        <v>45599</v>
      </c>
      <c r="D35" t="str">
        <f>TEXT(C35,"MMMM")</f>
        <v>noviembre</v>
      </c>
    </row>
    <row r="36" spans="2:4" x14ac:dyDescent="0.35">
      <c r="B36" s="33" t="s">
        <v>139</v>
      </c>
      <c r="C36">
        <f>WEEKNUM(C35,2)</f>
        <v>44</v>
      </c>
    </row>
    <row r="37" spans="2:4" x14ac:dyDescent="0.35">
      <c r="B37" s="33" t="s">
        <v>140</v>
      </c>
      <c r="C37" s="11">
        <f>'RDS-No entregados'!X3</f>
        <v>0</v>
      </c>
      <c r="D37">
        <f>WEEKNUM(C37,2)</f>
        <v>1</v>
      </c>
    </row>
    <row r="38" spans="2:4" x14ac:dyDescent="0.35">
      <c r="B38" s="33" t="s">
        <v>141</v>
      </c>
      <c r="C38" s="11">
        <f>C37+7</f>
        <v>7</v>
      </c>
    </row>
    <row r="39" spans="2:4" x14ac:dyDescent="0.35">
      <c r="C39" s="11"/>
    </row>
    <row r="40" spans="2:4" x14ac:dyDescent="0.35">
      <c r="C40" s="11"/>
    </row>
    <row r="41" spans="2:4" x14ac:dyDescent="0.35">
      <c r="B41" s="33" t="s">
        <v>142</v>
      </c>
      <c r="C41" s="35">
        <f>SUM(Tabla7[Monto])</f>
        <v>0</v>
      </c>
    </row>
    <row r="42" spans="2:4" x14ac:dyDescent="0.35">
      <c r="B42" s="33" t="s">
        <v>143</v>
      </c>
      <c r="C42">
        <v>0</v>
      </c>
    </row>
    <row r="43" spans="2:4" x14ac:dyDescent="0.35">
      <c r="B43" s="33" t="s">
        <v>144</v>
      </c>
      <c r="C43">
        <v>0</v>
      </c>
    </row>
    <row r="44" spans="2:4" x14ac:dyDescent="0.35">
      <c r="B44" s="33" t="s">
        <v>145</v>
      </c>
      <c r="C44">
        <v>0</v>
      </c>
    </row>
    <row r="45" spans="2:4" x14ac:dyDescent="0.35">
      <c r="B45" s="33" t="s">
        <v>152</v>
      </c>
      <c r="C45">
        <v>-300</v>
      </c>
    </row>
    <row r="46" spans="2:4" x14ac:dyDescent="0.35">
      <c r="B46" s="33" t="s">
        <v>153</v>
      </c>
      <c r="C46">
        <v>1334</v>
      </c>
    </row>
    <row r="47" spans="2:4" x14ac:dyDescent="0.35">
      <c r="B47" s="33" t="s">
        <v>159</v>
      </c>
      <c r="C47">
        <v>0</v>
      </c>
    </row>
    <row r="50" spans="2:4" x14ac:dyDescent="0.35">
      <c r="B50" s="33" t="s">
        <v>172</v>
      </c>
    </row>
    <row r="53" spans="2:4" x14ac:dyDescent="0.35">
      <c r="B53" t="s">
        <v>173</v>
      </c>
      <c r="C53">
        <f>Registros!N9-Registros!N10</f>
        <v>0</v>
      </c>
    </row>
    <row r="54" spans="2:4" x14ac:dyDescent="0.35">
      <c r="B54" t="s">
        <v>185</v>
      </c>
      <c r="C54" s="11">
        <v>45599</v>
      </c>
      <c r="D54" t="str">
        <f>TEXT(C54,"MMMM")</f>
        <v>noviembre</v>
      </c>
    </row>
    <row r="56" spans="2:4" x14ac:dyDescent="0.35">
      <c r="B56" t="s">
        <v>186</v>
      </c>
      <c r="C56">
        <v>1</v>
      </c>
    </row>
    <row r="57" spans="2:4" x14ac:dyDescent="0.35">
      <c r="B57" t="s">
        <v>187</v>
      </c>
      <c r="C57">
        <v>0</v>
      </c>
    </row>
    <row r="58" spans="2:4" x14ac:dyDescent="0.35">
      <c r="B58" t="s">
        <v>188</v>
      </c>
      <c r="C58">
        <v>1163</v>
      </c>
    </row>
    <row r="59" spans="2:4" x14ac:dyDescent="0.35">
      <c r="B59" t="s">
        <v>186</v>
      </c>
      <c r="C59">
        <v>0</v>
      </c>
    </row>
    <row r="61" spans="2:4" x14ac:dyDescent="0.35">
      <c r="B61" t="s">
        <v>190</v>
      </c>
      <c r="C61">
        <v>0</v>
      </c>
    </row>
    <row r="62" spans="2:4" x14ac:dyDescent="0.35">
      <c r="B62" t="s">
        <v>191</v>
      </c>
      <c r="C62">
        <v>1</v>
      </c>
    </row>
  </sheetData>
  <phoneticPr fontId="2" type="noConversion"/>
  <hyperlinks>
    <hyperlink ref="F4" r:id="rId1" xr:uid="{17E839BC-ABAB-48DD-986C-03D315CBCF8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CD680-CF11-45A6-8EE5-80D2930F64D8}">
  <sheetPr codeName="Hoja2"/>
  <dimension ref="B2:N11"/>
  <sheetViews>
    <sheetView topLeftCell="A52" workbookViewId="0">
      <selection activeCell="I5" sqref="I5"/>
    </sheetView>
  </sheetViews>
  <sheetFormatPr baseColWidth="10" defaultRowHeight="14.5" x14ac:dyDescent="0.35"/>
  <cols>
    <col min="12" max="12" width="11.7265625" bestFit="1" customWidth="1"/>
    <col min="14" max="14" width="11.7265625" bestFit="1" customWidth="1"/>
  </cols>
  <sheetData>
    <row r="2" spans="2:14" x14ac:dyDescent="0.35">
      <c r="B2" s="1"/>
      <c r="C2" s="51" t="s">
        <v>3</v>
      </c>
      <c r="D2" s="51"/>
      <c r="E2" s="51"/>
      <c r="F2" s="51"/>
      <c r="G2" s="51"/>
      <c r="H2" s="51"/>
      <c r="I2" s="51"/>
      <c r="J2" s="51"/>
      <c r="K2" s="51"/>
    </row>
    <row r="3" spans="2:14" x14ac:dyDescent="0.35">
      <c r="B3" s="1"/>
      <c r="C3" s="51"/>
      <c r="D3" s="51"/>
      <c r="E3" s="51"/>
      <c r="F3" s="51"/>
      <c r="G3" s="51"/>
      <c r="H3" s="51"/>
      <c r="I3" s="51"/>
      <c r="J3" s="51"/>
      <c r="K3" s="51"/>
    </row>
    <row r="4" spans="2:14" x14ac:dyDescent="0.35">
      <c r="C4" t="s">
        <v>4</v>
      </c>
      <c r="D4" t="s">
        <v>5</v>
      </c>
      <c r="E4" t="s">
        <v>6</v>
      </c>
      <c r="F4" t="s">
        <v>7</v>
      </c>
      <c r="G4" t="s">
        <v>8</v>
      </c>
      <c r="H4" s="50" t="s">
        <v>9</v>
      </c>
      <c r="I4" s="50"/>
      <c r="J4" s="50" t="s">
        <v>10</v>
      </c>
      <c r="K4" s="50"/>
      <c r="M4" s="3"/>
    </row>
    <row r="5" spans="2:14" x14ac:dyDescent="0.35">
      <c r="C5" t="s">
        <v>326</v>
      </c>
      <c r="D5" t="s">
        <v>366</v>
      </c>
      <c r="E5">
        <v>7224560206</v>
      </c>
      <c r="F5" t="s">
        <v>367</v>
      </c>
      <c r="G5" t="s">
        <v>368</v>
      </c>
      <c r="H5" s="2">
        <v>2</v>
      </c>
      <c r="I5" s="2" t="s">
        <v>369</v>
      </c>
      <c r="J5" s="2">
        <v>7</v>
      </c>
      <c r="K5" s="2" t="s">
        <v>369</v>
      </c>
      <c r="N5">
        <v>47</v>
      </c>
    </row>
    <row r="6" spans="2:14" x14ac:dyDescent="0.35">
      <c r="C6" t="s">
        <v>327</v>
      </c>
      <c r="D6" t="s">
        <v>370</v>
      </c>
      <c r="E6">
        <v>7295403440</v>
      </c>
      <c r="F6" t="s">
        <v>371</v>
      </c>
      <c r="G6" t="s">
        <v>372</v>
      </c>
      <c r="H6">
        <v>9</v>
      </c>
      <c r="I6" t="s">
        <v>369</v>
      </c>
      <c r="J6">
        <v>2</v>
      </c>
      <c r="K6" t="s">
        <v>369</v>
      </c>
      <c r="N6">
        <v>47</v>
      </c>
    </row>
    <row r="9" spans="2:14" x14ac:dyDescent="0.35">
      <c r="N9" s="35">
        <v>47</v>
      </c>
    </row>
    <row r="10" spans="2:14" x14ac:dyDescent="0.35">
      <c r="N10" s="35">
        <v>47</v>
      </c>
    </row>
    <row r="11" spans="2:14" x14ac:dyDescent="0.35">
      <c r="N11" s="35"/>
    </row>
  </sheetData>
  <mergeCells count="3">
    <mergeCell ref="H4:I4"/>
    <mergeCell ref="J4:K4"/>
    <mergeCell ref="C2:K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058-E85E-4D7F-976B-252042F0D9CD}">
  <sheetPr codeName="Hoja3"/>
  <dimension ref="A2:K68"/>
  <sheetViews>
    <sheetView topLeftCell="A49" workbookViewId="0">
      <selection activeCell="G6" sqref="G6"/>
    </sheetView>
  </sheetViews>
  <sheetFormatPr baseColWidth="10" defaultRowHeight="14.5" x14ac:dyDescent="0.35"/>
  <cols>
    <col min="4" max="4" width="46.7265625" customWidth="1"/>
    <col min="6" max="6" width="11.453125" customWidth="1"/>
    <col min="7" max="7" width="35.54296875" customWidth="1"/>
  </cols>
  <sheetData>
    <row r="2" spans="1:11" x14ac:dyDescent="0.35">
      <c r="C2" t="s">
        <v>296</v>
      </c>
      <c r="D2" t="s">
        <v>296</v>
      </c>
      <c r="E2" t="s">
        <v>296</v>
      </c>
      <c r="F2" t="s">
        <v>297</v>
      </c>
      <c r="G2" t="s">
        <v>297</v>
      </c>
      <c r="H2" t="s">
        <v>297</v>
      </c>
      <c r="I2" t="s">
        <v>298</v>
      </c>
      <c r="J2" t="s">
        <v>298</v>
      </c>
      <c r="K2" t="s">
        <v>298</v>
      </c>
    </row>
    <row r="3" spans="1:11" x14ac:dyDescent="0.35">
      <c r="A3" t="s">
        <v>13</v>
      </c>
      <c r="C3" t="s">
        <v>27</v>
      </c>
      <c r="D3" t="s">
        <v>14</v>
      </c>
      <c r="E3" t="s">
        <v>28</v>
      </c>
      <c r="F3" t="s">
        <v>27</v>
      </c>
      <c r="G3" t="s">
        <v>14</v>
      </c>
      <c r="H3" t="s">
        <v>28</v>
      </c>
      <c r="I3" t="s">
        <v>27</v>
      </c>
      <c r="J3" t="s">
        <v>14</v>
      </c>
      <c r="K3" t="s">
        <v>28</v>
      </c>
    </row>
    <row r="4" spans="1:11" x14ac:dyDescent="0.35">
      <c r="A4">
        <v>0</v>
      </c>
      <c r="C4">
        <v>1</v>
      </c>
      <c r="D4" t="s">
        <v>193</v>
      </c>
      <c r="E4">
        <v>15.6</v>
      </c>
      <c r="F4">
        <v>1</v>
      </c>
      <c r="G4" t="s">
        <v>334</v>
      </c>
      <c r="H4">
        <v>115</v>
      </c>
      <c r="I4">
        <v>1</v>
      </c>
      <c r="J4" t="s">
        <v>195</v>
      </c>
      <c r="K4">
        <v>4.3</v>
      </c>
    </row>
    <row r="5" spans="1:11" x14ac:dyDescent="0.35">
      <c r="C5">
        <v>2</v>
      </c>
      <c r="D5" t="s">
        <v>196</v>
      </c>
      <c r="E5">
        <v>116</v>
      </c>
      <c r="F5">
        <v>2</v>
      </c>
      <c r="G5" t="s">
        <v>335</v>
      </c>
      <c r="H5">
        <v>-20</v>
      </c>
      <c r="I5">
        <v>2</v>
      </c>
      <c r="J5" t="s">
        <v>198</v>
      </c>
      <c r="K5">
        <v>12</v>
      </c>
    </row>
    <row r="6" spans="1:11" x14ac:dyDescent="0.35">
      <c r="C6">
        <v>3</v>
      </c>
      <c r="D6" t="s">
        <v>199</v>
      </c>
      <c r="E6">
        <v>140</v>
      </c>
      <c r="F6">
        <v>3</v>
      </c>
      <c r="G6" t="s">
        <v>194</v>
      </c>
      <c r="H6">
        <v>50</v>
      </c>
      <c r="I6">
        <v>3</v>
      </c>
      <c r="J6" t="s">
        <v>201</v>
      </c>
      <c r="K6">
        <v>18</v>
      </c>
    </row>
    <row r="7" spans="1:11" x14ac:dyDescent="0.35">
      <c r="C7">
        <v>4</v>
      </c>
      <c r="D7" t="s">
        <v>202</v>
      </c>
      <c r="E7">
        <v>176</v>
      </c>
      <c r="F7">
        <v>4</v>
      </c>
      <c r="G7" t="s">
        <v>197</v>
      </c>
      <c r="H7">
        <v>50</v>
      </c>
      <c r="I7">
        <v>4</v>
      </c>
      <c r="J7" t="s">
        <v>204</v>
      </c>
      <c r="K7">
        <v>18</v>
      </c>
    </row>
    <row r="8" spans="1:11" x14ac:dyDescent="0.35">
      <c r="C8">
        <v>5</v>
      </c>
      <c r="D8" t="s">
        <v>211</v>
      </c>
      <c r="E8">
        <v>130</v>
      </c>
      <c r="F8">
        <v>5</v>
      </c>
      <c r="G8" t="s">
        <v>200</v>
      </c>
      <c r="H8">
        <v>50</v>
      </c>
      <c r="I8">
        <v>5</v>
      </c>
      <c r="J8" t="s">
        <v>206</v>
      </c>
      <c r="K8">
        <v>18</v>
      </c>
    </row>
    <row r="9" spans="1:11" x14ac:dyDescent="0.35">
      <c r="C9">
        <v>6</v>
      </c>
      <c r="D9" t="s">
        <v>213</v>
      </c>
      <c r="E9">
        <v>160</v>
      </c>
      <c r="F9">
        <v>6</v>
      </c>
      <c r="G9" t="s">
        <v>203</v>
      </c>
      <c r="H9">
        <v>50</v>
      </c>
      <c r="I9">
        <v>6</v>
      </c>
      <c r="J9" t="s">
        <v>208</v>
      </c>
      <c r="K9">
        <v>20</v>
      </c>
    </row>
    <row r="10" spans="1:11" x14ac:dyDescent="0.35">
      <c r="C10">
        <v>7</v>
      </c>
      <c r="D10" t="s">
        <v>215</v>
      </c>
      <c r="E10">
        <v>14</v>
      </c>
      <c r="F10">
        <v>7</v>
      </c>
      <c r="G10" t="s">
        <v>205</v>
      </c>
      <c r="H10">
        <v>50</v>
      </c>
    </row>
    <row r="11" spans="1:11" x14ac:dyDescent="0.35">
      <c r="C11">
        <v>8</v>
      </c>
      <c r="D11" t="s">
        <v>217</v>
      </c>
      <c r="E11">
        <v>4</v>
      </c>
      <c r="F11">
        <v>8</v>
      </c>
      <c r="G11" t="s">
        <v>207</v>
      </c>
      <c r="H11">
        <v>50</v>
      </c>
    </row>
    <row r="12" spans="1:11" x14ac:dyDescent="0.35">
      <c r="C12">
        <v>9</v>
      </c>
      <c r="D12" t="s">
        <v>219</v>
      </c>
      <c r="E12">
        <v>19.5</v>
      </c>
      <c r="F12">
        <v>9</v>
      </c>
      <c r="G12" t="s">
        <v>209</v>
      </c>
      <c r="H12">
        <v>45</v>
      </c>
    </row>
    <row r="13" spans="1:11" x14ac:dyDescent="0.35">
      <c r="C13">
        <v>10</v>
      </c>
      <c r="D13" t="s">
        <v>221</v>
      </c>
      <c r="E13">
        <v>24.3</v>
      </c>
      <c r="F13">
        <v>10</v>
      </c>
      <c r="G13" t="s">
        <v>210</v>
      </c>
      <c r="H13">
        <v>100</v>
      </c>
    </row>
    <row r="14" spans="1:11" x14ac:dyDescent="0.35">
      <c r="C14">
        <v>11</v>
      </c>
      <c r="D14" t="s">
        <v>223</v>
      </c>
      <c r="E14">
        <v>15.2</v>
      </c>
      <c r="F14">
        <v>11</v>
      </c>
      <c r="G14" t="s">
        <v>212</v>
      </c>
      <c r="H14">
        <v>150</v>
      </c>
    </row>
    <row r="15" spans="1:11" x14ac:dyDescent="0.35">
      <c r="C15">
        <v>12</v>
      </c>
      <c r="D15" t="s">
        <v>225</v>
      </c>
      <c r="E15">
        <v>16.8</v>
      </c>
      <c r="F15">
        <v>12</v>
      </c>
      <c r="G15" t="s">
        <v>214</v>
      </c>
      <c r="H15">
        <v>100</v>
      </c>
    </row>
    <row r="16" spans="1:11" x14ac:dyDescent="0.35">
      <c r="C16">
        <v>13</v>
      </c>
      <c r="D16" t="s">
        <v>227</v>
      </c>
      <c r="E16">
        <v>27.8</v>
      </c>
      <c r="F16">
        <v>13</v>
      </c>
      <c r="G16" t="s">
        <v>216</v>
      </c>
      <c r="H16">
        <v>135</v>
      </c>
    </row>
    <row r="17" spans="3:8" x14ac:dyDescent="0.35">
      <c r="C17">
        <v>14</v>
      </c>
      <c r="D17" t="s">
        <v>229</v>
      </c>
      <c r="E17">
        <v>58</v>
      </c>
      <c r="F17">
        <v>14</v>
      </c>
      <c r="G17" t="s">
        <v>218</v>
      </c>
      <c r="H17">
        <v>180</v>
      </c>
    </row>
    <row r="18" spans="3:8" x14ac:dyDescent="0.35">
      <c r="C18">
        <v>15</v>
      </c>
      <c r="D18" t="s">
        <v>231</v>
      </c>
      <c r="E18">
        <v>70</v>
      </c>
      <c r="F18">
        <v>15</v>
      </c>
      <c r="G18" t="s">
        <v>220</v>
      </c>
      <c r="H18">
        <v>100</v>
      </c>
    </row>
    <row r="19" spans="3:8" x14ac:dyDescent="0.35">
      <c r="C19">
        <v>16</v>
      </c>
      <c r="D19" t="s">
        <v>233</v>
      </c>
      <c r="E19">
        <v>80</v>
      </c>
      <c r="F19">
        <v>16</v>
      </c>
      <c r="G19" t="s">
        <v>222</v>
      </c>
      <c r="H19">
        <v>135</v>
      </c>
    </row>
    <row r="20" spans="3:8" x14ac:dyDescent="0.35">
      <c r="C20">
        <v>17</v>
      </c>
      <c r="D20" t="s">
        <v>235</v>
      </c>
      <c r="E20">
        <v>88</v>
      </c>
      <c r="F20">
        <v>17</v>
      </c>
      <c r="G20" t="s">
        <v>224</v>
      </c>
      <c r="H20">
        <v>150</v>
      </c>
    </row>
    <row r="21" spans="3:8" x14ac:dyDescent="0.35">
      <c r="C21">
        <v>18</v>
      </c>
      <c r="D21" t="s">
        <v>237</v>
      </c>
      <c r="E21">
        <v>45</v>
      </c>
      <c r="F21">
        <v>18</v>
      </c>
      <c r="G21" t="s">
        <v>226</v>
      </c>
      <c r="H21">
        <v>100</v>
      </c>
    </row>
    <row r="22" spans="3:8" x14ac:dyDescent="0.35">
      <c r="C22">
        <v>19</v>
      </c>
      <c r="D22" t="s">
        <v>239</v>
      </c>
      <c r="E22">
        <v>63</v>
      </c>
      <c r="F22">
        <v>19</v>
      </c>
      <c r="G22" t="s">
        <v>228</v>
      </c>
      <c r="H22">
        <v>260</v>
      </c>
    </row>
    <row r="23" spans="3:8" x14ac:dyDescent="0.35">
      <c r="C23">
        <v>20</v>
      </c>
      <c r="D23" t="s">
        <v>241</v>
      </c>
      <c r="E23">
        <v>42.3</v>
      </c>
      <c r="F23">
        <v>20</v>
      </c>
      <c r="G23" t="s">
        <v>230</v>
      </c>
      <c r="H23">
        <v>60</v>
      </c>
    </row>
    <row r="24" spans="3:8" x14ac:dyDescent="0.35">
      <c r="C24">
        <v>21</v>
      </c>
      <c r="D24" t="s">
        <v>243</v>
      </c>
      <c r="E24">
        <v>30</v>
      </c>
      <c r="F24">
        <v>21</v>
      </c>
      <c r="G24" t="s">
        <v>232</v>
      </c>
      <c r="H24">
        <v>110</v>
      </c>
    </row>
    <row r="25" spans="3:8" x14ac:dyDescent="0.35">
      <c r="C25">
        <v>22</v>
      </c>
      <c r="D25" t="s">
        <v>245</v>
      </c>
      <c r="E25">
        <v>40</v>
      </c>
      <c r="F25">
        <v>22</v>
      </c>
      <c r="G25" t="s">
        <v>234</v>
      </c>
      <c r="H25">
        <v>130</v>
      </c>
    </row>
    <row r="26" spans="3:8" x14ac:dyDescent="0.35">
      <c r="C26">
        <v>23</v>
      </c>
      <c r="D26" t="s">
        <v>247</v>
      </c>
      <c r="E26">
        <v>18</v>
      </c>
      <c r="F26">
        <v>23</v>
      </c>
      <c r="G26" t="s">
        <v>236</v>
      </c>
      <c r="H26">
        <v>150</v>
      </c>
    </row>
    <row r="27" spans="3:8" x14ac:dyDescent="0.35">
      <c r="C27">
        <v>24</v>
      </c>
      <c r="D27" t="s">
        <v>249</v>
      </c>
      <c r="E27">
        <v>29</v>
      </c>
      <c r="F27">
        <v>24</v>
      </c>
      <c r="G27" t="s">
        <v>238</v>
      </c>
      <c r="H27">
        <v>130</v>
      </c>
    </row>
    <row r="28" spans="3:8" x14ac:dyDescent="0.35">
      <c r="C28">
        <v>25</v>
      </c>
      <c r="D28" t="s">
        <v>251</v>
      </c>
      <c r="E28">
        <v>38</v>
      </c>
      <c r="F28">
        <v>25</v>
      </c>
      <c r="G28" t="s">
        <v>240</v>
      </c>
      <c r="H28">
        <v>110</v>
      </c>
    </row>
    <row r="29" spans="3:8" x14ac:dyDescent="0.35">
      <c r="C29">
        <v>26</v>
      </c>
      <c r="D29" t="s">
        <v>253</v>
      </c>
      <c r="E29">
        <v>20</v>
      </c>
      <c r="F29">
        <v>26</v>
      </c>
      <c r="G29" t="s">
        <v>242</v>
      </c>
      <c r="H29">
        <v>130</v>
      </c>
    </row>
    <row r="30" spans="3:8" x14ac:dyDescent="0.35">
      <c r="C30">
        <v>27</v>
      </c>
      <c r="D30" t="s">
        <v>255</v>
      </c>
      <c r="E30">
        <v>27</v>
      </c>
      <c r="F30">
        <v>27</v>
      </c>
      <c r="G30" t="s">
        <v>244</v>
      </c>
      <c r="H30">
        <v>150</v>
      </c>
    </row>
    <row r="31" spans="3:8" x14ac:dyDescent="0.35">
      <c r="C31">
        <v>28</v>
      </c>
      <c r="D31" t="s">
        <v>257</v>
      </c>
      <c r="E31">
        <v>25</v>
      </c>
      <c r="F31">
        <v>28</v>
      </c>
      <c r="G31" t="s">
        <v>246</v>
      </c>
      <c r="H31">
        <v>80</v>
      </c>
    </row>
    <row r="32" spans="3:8" x14ac:dyDescent="0.35">
      <c r="C32">
        <v>29</v>
      </c>
      <c r="D32" t="s">
        <v>259</v>
      </c>
      <c r="E32">
        <v>40</v>
      </c>
      <c r="F32">
        <v>29</v>
      </c>
      <c r="G32" t="s">
        <v>248</v>
      </c>
      <c r="H32">
        <v>85</v>
      </c>
    </row>
    <row r="33" spans="3:8" x14ac:dyDescent="0.35">
      <c r="C33">
        <v>30</v>
      </c>
      <c r="D33" t="s">
        <v>261</v>
      </c>
      <c r="E33">
        <v>35</v>
      </c>
      <c r="F33">
        <v>30</v>
      </c>
      <c r="G33" t="s">
        <v>250</v>
      </c>
      <c r="H33">
        <v>120</v>
      </c>
    </row>
    <row r="34" spans="3:8" x14ac:dyDescent="0.35">
      <c r="C34">
        <v>31</v>
      </c>
      <c r="D34" t="s">
        <v>263</v>
      </c>
      <c r="E34">
        <v>35</v>
      </c>
      <c r="F34">
        <v>31</v>
      </c>
      <c r="G34" t="s">
        <v>252</v>
      </c>
      <c r="H34">
        <v>150</v>
      </c>
    </row>
    <row r="35" spans="3:8" x14ac:dyDescent="0.35">
      <c r="C35">
        <v>32</v>
      </c>
      <c r="D35" t="s">
        <v>328</v>
      </c>
      <c r="E35">
        <v>50</v>
      </c>
      <c r="F35">
        <v>32</v>
      </c>
      <c r="G35" t="s">
        <v>254</v>
      </c>
      <c r="H35">
        <v>180</v>
      </c>
    </row>
    <row r="36" spans="3:8" x14ac:dyDescent="0.35">
      <c r="C36">
        <v>33</v>
      </c>
      <c r="D36" t="s">
        <v>265</v>
      </c>
      <c r="E36">
        <v>40</v>
      </c>
      <c r="F36">
        <v>33</v>
      </c>
      <c r="G36" t="s">
        <v>256</v>
      </c>
      <c r="H36">
        <v>215</v>
      </c>
    </row>
    <row r="37" spans="3:8" x14ac:dyDescent="0.35">
      <c r="C37">
        <v>34</v>
      </c>
      <c r="D37" t="s">
        <v>266</v>
      </c>
      <c r="E37">
        <v>60</v>
      </c>
      <c r="F37">
        <v>34</v>
      </c>
      <c r="G37" t="s">
        <v>258</v>
      </c>
      <c r="H37">
        <v>250</v>
      </c>
    </row>
    <row r="38" spans="3:8" x14ac:dyDescent="0.35">
      <c r="C38">
        <v>35</v>
      </c>
      <c r="D38" t="s">
        <v>268</v>
      </c>
      <c r="E38">
        <v>40</v>
      </c>
      <c r="F38">
        <v>35</v>
      </c>
      <c r="G38" t="s">
        <v>260</v>
      </c>
      <c r="H38">
        <v>300</v>
      </c>
    </row>
    <row r="39" spans="3:8" x14ac:dyDescent="0.35">
      <c r="C39">
        <v>36</v>
      </c>
      <c r="D39" t="s">
        <v>270</v>
      </c>
      <c r="E39">
        <v>60</v>
      </c>
      <c r="F39">
        <v>36</v>
      </c>
      <c r="G39" t="s">
        <v>262</v>
      </c>
      <c r="H39">
        <v>140</v>
      </c>
    </row>
    <row r="40" spans="3:8" x14ac:dyDescent="0.35">
      <c r="C40">
        <v>37</v>
      </c>
      <c r="D40" t="s">
        <v>272</v>
      </c>
      <c r="E40">
        <v>25.3</v>
      </c>
      <c r="F40">
        <v>37</v>
      </c>
      <c r="G40" t="s">
        <v>264</v>
      </c>
      <c r="H40">
        <v>170</v>
      </c>
    </row>
    <row r="41" spans="3:8" x14ac:dyDescent="0.35">
      <c r="C41">
        <v>38</v>
      </c>
      <c r="D41" t="s">
        <v>274</v>
      </c>
      <c r="E41">
        <v>35</v>
      </c>
      <c r="F41">
        <v>38</v>
      </c>
      <c r="G41" t="s">
        <v>254</v>
      </c>
      <c r="H41">
        <v>210</v>
      </c>
    </row>
    <row r="42" spans="3:8" x14ac:dyDescent="0.35">
      <c r="C42">
        <v>39</v>
      </c>
      <c r="D42" t="s">
        <v>276</v>
      </c>
      <c r="E42">
        <v>45</v>
      </c>
      <c r="F42">
        <v>39</v>
      </c>
      <c r="G42" t="s">
        <v>256</v>
      </c>
      <c r="H42">
        <v>250</v>
      </c>
    </row>
    <row r="43" spans="3:8" x14ac:dyDescent="0.35">
      <c r="C43">
        <v>40</v>
      </c>
      <c r="D43" t="s">
        <v>277</v>
      </c>
      <c r="E43">
        <v>70</v>
      </c>
      <c r="F43">
        <v>40</v>
      </c>
      <c r="G43" t="s">
        <v>267</v>
      </c>
      <c r="H43">
        <v>120</v>
      </c>
    </row>
    <row r="44" spans="3:8" x14ac:dyDescent="0.35">
      <c r="C44">
        <v>41</v>
      </c>
      <c r="D44" t="s">
        <v>278</v>
      </c>
      <c r="E44">
        <v>120</v>
      </c>
      <c r="F44">
        <v>41</v>
      </c>
      <c r="G44" t="s">
        <v>269</v>
      </c>
      <c r="H44">
        <v>100</v>
      </c>
    </row>
    <row r="45" spans="3:8" x14ac:dyDescent="0.35">
      <c r="C45">
        <v>42</v>
      </c>
      <c r="D45" t="s">
        <v>279</v>
      </c>
      <c r="E45">
        <v>245.36</v>
      </c>
      <c r="F45">
        <v>42</v>
      </c>
      <c r="G45" t="s">
        <v>271</v>
      </c>
      <c r="H45">
        <v>50</v>
      </c>
    </row>
    <row r="46" spans="3:8" x14ac:dyDescent="0.35">
      <c r="C46">
        <v>43</v>
      </c>
      <c r="D46" t="s">
        <v>329</v>
      </c>
      <c r="E46">
        <v>100</v>
      </c>
      <c r="F46">
        <v>43</v>
      </c>
      <c r="G46" t="s">
        <v>273</v>
      </c>
      <c r="H46">
        <v>110</v>
      </c>
    </row>
    <row r="47" spans="3:8" x14ac:dyDescent="0.35">
      <c r="C47">
        <v>44</v>
      </c>
      <c r="D47" t="s">
        <v>330</v>
      </c>
      <c r="E47">
        <v>150</v>
      </c>
      <c r="F47">
        <v>44</v>
      </c>
      <c r="G47" t="s">
        <v>275</v>
      </c>
      <c r="H47">
        <v>4.2</v>
      </c>
    </row>
    <row r="48" spans="3:8" x14ac:dyDescent="0.35">
      <c r="C48">
        <v>45</v>
      </c>
      <c r="D48" t="s">
        <v>280</v>
      </c>
      <c r="E48">
        <v>13</v>
      </c>
    </row>
    <row r="49" spans="3:5" x14ac:dyDescent="0.35">
      <c r="C49">
        <v>46</v>
      </c>
      <c r="D49" t="s">
        <v>281</v>
      </c>
      <c r="E49">
        <v>13</v>
      </c>
    </row>
    <row r="50" spans="3:5" x14ac:dyDescent="0.35">
      <c r="C50">
        <v>47</v>
      </c>
      <c r="D50" t="s">
        <v>282</v>
      </c>
      <c r="E50">
        <v>16</v>
      </c>
    </row>
    <row r="51" spans="3:5" x14ac:dyDescent="0.35">
      <c r="C51">
        <v>48</v>
      </c>
      <c r="D51" t="s">
        <v>283</v>
      </c>
      <c r="E51">
        <v>20</v>
      </c>
    </row>
    <row r="52" spans="3:5" x14ac:dyDescent="0.35">
      <c r="C52">
        <v>49</v>
      </c>
      <c r="D52" t="s">
        <v>284</v>
      </c>
      <c r="E52">
        <v>22</v>
      </c>
    </row>
    <row r="53" spans="3:5" x14ac:dyDescent="0.35">
      <c r="C53">
        <v>50</v>
      </c>
      <c r="D53" t="s">
        <v>285</v>
      </c>
      <c r="E53">
        <v>22</v>
      </c>
    </row>
    <row r="54" spans="3:5" x14ac:dyDescent="0.35">
      <c r="C54">
        <v>51</v>
      </c>
      <c r="D54" t="s">
        <v>286</v>
      </c>
      <c r="E54">
        <v>33.5</v>
      </c>
    </row>
    <row r="55" spans="3:5" x14ac:dyDescent="0.35">
      <c r="C55">
        <v>52</v>
      </c>
      <c r="D55" t="s">
        <v>287</v>
      </c>
      <c r="E55">
        <v>50</v>
      </c>
    </row>
    <row r="56" spans="3:5" x14ac:dyDescent="0.35">
      <c r="C56">
        <v>53</v>
      </c>
      <c r="D56" t="s">
        <v>288</v>
      </c>
      <c r="E56">
        <v>100</v>
      </c>
    </row>
    <row r="57" spans="3:5" x14ac:dyDescent="0.35">
      <c r="C57">
        <v>54</v>
      </c>
      <c r="D57" t="s">
        <v>331</v>
      </c>
      <c r="E57">
        <v>24.2</v>
      </c>
    </row>
    <row r="58" spans="3:5" x14ac:dyDescent="0.35">
      <c r="C58">
        <v>55</v>
      </c>
      <c r="D58" t="s">
        <v>332</v>
      </c>
      <c r="E58">
        <v>20</v>
      </c>
    </row>
    <row r="59" spans="3:5" x14ac:dyDescent="0.35">
      <c r="C59">
        <v>56</v>
      </c>
      <c r="D59" t="s">
        <v>289</v>
      </c>
      <c r="E59">
        <v>28</v>
      </c>
    </row>
    <row r="60" spans="3:5" x14ac:dyDescent="0.35">
      <c r="C60">
        <v>57</v>
      </c>
      <c r="D60" t="s">
        <v>333</v>
      </c>
      <c r="E60">
        <v>16</v>
      </c>
    </row>
    <row r="61" spans="3:5" x14ac:dyDescent="0.35">
      <c r="C61">
        <v>58</v>
      </c>
      <c r="D61" t="s">
        <v>290</v>
      </c>
      <c r="E61">
        <v>20</v>
      </c>
    </row>
    <row r="62" spans="3:5" x14ac:dyDescent="0.35">
      <c r="C62">
        <v>59</v>
      </c>
      <c r="D62" t="s">
        <v>291</v>
      </c>
      <c r="E62">
        <v>3.2</v>
      </c>
    </row>
    <row r="63" spans="3:5" x14ac:dyDescent="0.35">
      <c r="C63">
        <v>60</v>
      </c>
      <c r="D63" t="s">
        <v>292</v>
      </c>
      <c r="E63">
        <v>3.2</v>
      </c>
    </row>
    <row r="64" spans="3:5" x14ac:dyDescent="0.35">
      <c r="C64">
        <v>61</v>
      </c>
      <c r="D64" t="s">
        <v>293</v>
      </c>
      <c r="E64">
        <v>4.8499999999999996</v>
      </c>
    </row>
    <row r="65" spans="3:5" x14ac:dyDescent="0.35">
      <c r="C65">
        <v>62</v>
      </c>
      <c r="D65" t="s">
        <v>294</v>
      </c>
      <c r="E65">
        <v>2.2999999999999998</v>
      </c>
    </row>
    <row r="66" spans="3:5" x14ac:dyDescent="0.35">
      <c r="C66">
        <v>63</v>
      </c>
      <c r="D66" t="s">
        <v>295</v>
      </c>
      <c r="E66">
        <v>6.2</v>
      </c>
    </row>
    <row r="67" spans="3:5" x14ac:dyDescent="0.35">
      <c r="C67">
        <v>64</v>
      </c>
      <c r="D67" t="s">
        <v>294</v>
      </c>
      <c r="E67">
        <v>1</v>
      </c>
    </row>
    <row r="68" spans="3:5" x14ac:dyDescent="0.35">
      <c r="C68">
        <v>65</v>
      </c>
      <c r="D68" t="s">
        <v>295</v>
      </c>
      <c r="E68">
        <v>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9E0C2-0DB5-4D24-ADE2-B7BBFB45B536}">
  <sheetPr codeName="Hoja4"/>
  <dimension ref="B1:AS80"/>
  <sheetViews>
    <sheetView topLeftCell="AB28" workbookViewId="0">
      <selection activeCell="J11" sqref="J11"/>
    </sheetView>
  </sheetViews>
  <sheetFormatPr baseColWidth="10" defaultRowHeight="14.5" x14ac:dyDescent="0.35"/>
  <cols>
    <col min="3" max="3" width="28.7265625" bestFit="1" customWidth="1"/>
    <col min="5" max="5" width="14.54296875" bestFit="1" customWidth="1"/>
    <col min="6" max="6" width="20.26953125" bestFit="1" customWidth="1"/>
    <col min="13" max="13" width="14.54296875" bestFit="1" customWidth="1"/>
    <col min="14" max="14" width="21.26953125" bestFit="1" customWidth="1"/>
    <col min="15" max="15" width="20.26953125" bestFit="1" customWidth="1"/>
    <col min="19" max="19" width="16.1796875" customWidth="1"/>
    <col min="22" max="22" width="14.81640625" bestFit="1" customWidth="1"/>
    <col min="23" max="23" width="15.453125" bestFit="1" customWidth="1"/>
    <col min="27" max="27" width="15.81640625" bestFit="1" customWidth="1"/>
    <col min="28" max="28" width="17.1796875" bestFit="1" customWidth="1"/>
    <col min="30" max="30" width="15.81640625" bestFit="1" customWidth="1"/>
    <col min="32" max="32" width="20.54296875" bestFit="1" customWidth="1"/>
    <col min="33" max="33" width="20" bestFit="1" customWidth="1"/>
    <col min="34" max="34" width="15" bestFit="1" customWidth="1"/>
    <col min="43" max="43" width="16" customWidth="1"/>
    <col min="44" max="44" width="20" bestFit="1" customWidth="1"/>
  </cols>
  <sheetData>
    <row r="1" spans="2:45" x14ac:dyDescent="0.35">
      <c r="J1" s="52" t="s">
        <v>73</v>
      </c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</row>
    <row r="2" spans="2:45" x14ac:dyDescent="0.35">
      <c r="B2" s="52" t="s">
        <v>38</v>
      </c>
      <c r="C2" s="52"/>
      <c r="D2" s="52"/>
      <c r="E2" s="52"/>
      <c r="F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</row>
    <row r="3" spans="2:45" x14ac:dyDescent="0.35">
      <c r="B3" t="s">
        <v>36</v>
      </c>
      <c r="C3" t="s">
        <v>4</v>
      </c>
      <c r="D3" t="s">
        <v>6</v>
      </c>
      <c r="E3" t="s">
        <v>37</v>
      </c>
      <c r="F3" t="s">
        <v>39</v>
      </c>
      <c r="J3" s="2" t="s">
        <v>36</v>
      </c>
      <c r="K3" s="2" t="s">
        <v>4</v>
      </c>
      <c r="L3" s="2" t="s">
        <v>6</v>
      </c>
      <c r="M3" s="2" t="s">
        <v>37</v>
      </c>
      <c r="N3" s="2" t="s">
        <v>43</v>
      </c>
      <c r="O3" s="2" t="s">
        <v>14</v>
      </c>
      <c r="P3" s="2" t="s">
        <v>44</v>
      </c>
      <c r="Q3" s="2" t="s">
        <v>46</v>
      </c>
      <c r="R3" s="2" t="s">
        <v>65</v>
      </c>
      <c r="S3" s="2" t="s">
        <v>71</v>
      </c>
      <c r="T3" s="2" t="s">
        <v>60</v>
      </c>
      <c r="U3" s="2" t="s">
        <v>59</v>
      </c>
      <c r="V3" s="2" t="s">
        <v>45</v>
      </c>
      <c r="W3" s="2" t="s">
        <v>68</v>
      </c>
      <c r="X3" s="2" t="s">
        <v>47</v>
      </c>
      <c r="Y3" s="2" t="s">
        <v>67</v>
      </c>
      <c r="Z3" s="2" t="s">
        <v>66</v>
      </c>
      <c r="AA3" s="2" t="s">
        <v>69</v>
      </c>
      <c r="AB3" s="2" t="s">
        <v>70</v>
      </c>
      <c r="AC3" s="2" t="s">
        <v>72</v>
      </c>
      <c r="AD3" s="2" t="s">
        <v>69</v>
      </c>
      <c r="AE3" s="2" t="s">
        <v>89</v>
      </c>
      <c r="AF3" s="2" t="s">
        <v>91</v>
      </c>
      <c r="AG3" s="2" t="s">
        <v>92</v>
      </c>
      <c r="AH3" s="2" t="s">
        <v>137</v>
      </c>
      <c r="AQ3" t="s">
        <v>94</v>
      </c>
      <c r="AR3" t="s">
        <v>93</v>
      </c>
      <c r="AS3" t="s">
        <v>90</v>
      </c>
    </row>
    <row r="4" spans="2:45" x14ac:dyDescent="0.35">
      <c r="B4">
        <v>1</v>
      </c>
      <c r="C4" t="s">
        <v>337</v>
      </c>
      <c r="D4">
        <v>7294706063</v>
      </c>
      <c r="E4" t="s">
        <v>338</v>
      </c>
      <c r="F4" t="s">
        <v>327</v>
      </c>
      <c r="J4">
        <v>1</v>
      </c>
      <c r="K4" t="s">
        <v>41</v>
      </c>
      <c r="L4">
        <v>7228259777</v>
      </c>
      <c r="M4" t="s">
        <v>42</v>
      </c>
      <c r="N4" t="s">
        <v>40</v>
      </c>
      <c r="O4" t="s">
        <v>19</v>
      </c>
      <c r="P4">
        <v>1</v>
      </c>
      <c r="Q4">
        <v>5</v>
      </c>
      <c r="R4">
        <v>15</v>
      </c>
      <c r="S4">
        <v>75</v>
      </c>
      <c r="T4">
        <v>75</v>
      </c>
      <c r="U4">
        <v>75</v>
      </c>
      <c r="V4" t="s">
        <v>80</v>
      </c>
      <c r="W4" s="11">
        <v>45440</v>
      </c>
      <c r="X4" t="s">
        <v>81</v>
      </c>
      <c r="Y4" t="s">
        <v>82</v>
      </c>
      <c r="Z4">
        <v>2024</v>
      </c>
      <c r="AA4" s="11">
        <v>45293</v>
      </c>
      <c r="AB4" t="s">
        <v>84</v>
      </c>
      <c r="AC4" s="18" t="s">
        <v>83</v>
      </c>
      <c r="AQ4" t="s">
        <v>40</v>
      </c>
      <c r="AR4" t="s">
        <v>85</v>
      </c>
      <c r="AS4" t="s">
        <v>90</v>
      </c>
    </row>
    <row r="5" spans="2:45" x14ac:dyDescent="0.35">
      <c r="B5">
        <v>2</v>
      </c>
      <c r="C5" t="s">
        <v>348</v>
      </c>
      <c r="D5">
        <v>7224103606</v>
      </c>
      <c r="E5" t="s">
        <v>349</v>
      </c>
      <c r="F5" t="s">
        <v>326</v>
      </c>
      <c r="J5">
        <v>2</v>
      </c>
      <c r="K5" t="s">
        <v>313</v>
      </c>
      <c r="L5">
        <v>7292492041</v>
      </c>
      <c r="M5" t="s">
        <v>314</v>
      </c>
      <c r="N5" t="s">
        <v>40</v>
      </c>
      <c r="O5" t="s">
        <v>296</v>
      </c>
      <c r="P5" t="s">
        <v>316</v>
      </c>
      <c r="Q5" t="s">
        <v>317</v>
      </c>
      <c r="R5" t="s">
        <v>318</v>
      </c>
      <c r="S5" s="20" t="s">
        <v>319</v>
      </c>
      <c r="T5" s="21">
        <v>0</v>
      </c>
      <c r="U5">
        <v>174</v>
      </c>
      <c r="V5" t="s">
        <v>60</v>
      </c>
      <c r="W5" s="11">
        <v>45591</v>
      </c>
      <c r="X5" t="s">
        <v>311</v>
      </c>
      <c r="Y5" t="s">
        <v>302</v>
      </c>
      <c r="Z5">
        <v>2024</v>
      </c>
      <c r="AA5" s="11" t="s">
        <v>315</v>
      </c>
      <c r="AB5" t="s">
        <v>320</v>
      </c>
      <c r="AC5" s="21" t="s">
        <v>321</v>
      </c>
      <c r="AD5" t="s">
        <v>310</v>
      </c>
      <c r="AE5">
        <v>174</v>
      </c>
      <c r="AH5" s="34">
        <v>0.53626157407407404</v>
      </c>
    </row>
    <row r="6" spans="2:45" x14ac:dyDescent="0.35">
      <c r="B6">
        <v>3</v>
      </c>
      <c r="C6" t="s">
        <v>358</v>
      </c>
      <c r="D6">
        <v>1234567890</v>
      </c>
      <c r="E6" t="s">
        <v>359</v>
      </c>
      <c r="F6" t="s">
        <v>326</v>
      </c>
      <c r="J6">
        <v>3</v>
      </c>
      <c r="K6" t="s">
        <v>313</v>
      </c>
      <c r="L6">
        <v>7292492041</v>
      </c>
      <c r="M6" t="s">
        <v>314</v>
      </c>
      <c r="N6" t="s">
        <v>40</v>
      </c>
      <c r="O6" t="s">
        <v>297</v>
      </c>
      <c r="P6" t="s">
        <v>322</v>
      </c>
      <c r="Q6" t="s">
        <v>323</v>
      </c>
      <c r="R6" t="s">
        <v>312</v>
      </c>
      <c r="S6" t="s">
        <v>312</v>
      </c>
      <c r="T6" s="21">
        <v>100</v>
      </c>
      <c r="U6">
        <v>100</v>
      </c>
      <c r="V6" t="s">
        <v>80</v>
      </c>
      <c r="W6" s="11">
        <v>45591</v>
      </c>
      <c r="X6" t="s">
        <v>311</v>
      </c>
      <c r="Y6" t="s">
        <v>302</v>
      </c>
      <c r="Z6">
        <v>2024</v>
      </c>
      <c r="AA6" s="11" t="s">
        <v>315</v>
      </c>
      <c r="AB6" t="s">
        <v>324</v>
      </c>
      <c r="AC6" s="21" t="s">
        <v>321</v>
      </c>
      <c r="AD6" t="s">
        <v>310</v>
      </c>
      <c r="AE6">
        <v>0</v>
      </c>
      <c r="AH6" s="34">
        <v>0.54760416666666667</v>
      </c>
    </row>
    <row r="7" spans="2:45" x14ac:dyDescent="0.35">
      <c r="B7">
        <v>4</v>
      </c>
      <c r="C7" t="s">
        <v>360</v>
      </c>
      <c r="D7">
        <v>5535913617</v>
      </c>
      <c r="E7" t="s">
        <v>361</v>
      </c>
      <c r="F7" t="s">
        <v>326</v>
      </c>
      <c r="J7">
        <v>4</v>
      </c>
      <c r="K7" t="s">
        <v>313</v>
      </c>
      <c r="L7">
        <v>7292492041</v>
      </c>
      <c r="M7" t="s">
        <v>314</v>
      </c>
      <c r="N7" t="s">
        <v>40</v>
      </c>
      <c r="O7" t="s">
        <v>296</v>
      </c>
      <c r="P7">
        <v>1</v>
      </c>
      <c r="Q7">
        <v>6</v>
      </c>
      <c r="R7">
        <v>14.75</v>
      </c>
      <c r="S7">
        <v>88</v>
      </c>
      <c r="T7">
        <v>88</v>
      </c>
      <c r="U7">
        <v>88</v>
      </c>
      <c r="V7" t="s">
        <v>80</v>
      </c>
      <c r="W7" s="11">
        <v>45591</v>
      </c>
      <c r="X7" t="s">
        <v>311</v>
      </c>
      <c r="Y7" t="s">
        <v>302</v>
      </c>
      <c r="Z7">
        <v>2024</v>
      </c>
      <c r="AA7" s="11" t="s">
        <v>315</v>
      </c>
      <c r="AB7" t="s">
        <v>325</v>
      </c>
      <c r="AC7" s="18" t="s">
        <v>83</v>
      </c>
      <c r="AH7" s="34">
        <v>0.56300925925925926</v>
      </c>
    </row>
    <row r="8" spans="2:45" x14ac:dyDescent="0.35">
      <c r="B8">
        <v>5</v>
      </c>
      <c r="C8" t="s">
        <v>374</v>
      </c>
      <c r="D8">
        <v>7224560206</v>
      </c>
      <c r="E8" t="s">
        <v>375</v>
      </c>
      <c r="F8" t="s">
        <v>326</v>
      </c>
      <c r="J8">
        <v>5</v>
      </c>
      <c r="K8" t="s">
        <v>337</v>
      </c>
      <c r="L8">
        <v>7294706063</v>
      </c>
      <c r="M8" t="s">
        <v>338</v>
      </c>
      <c r="N8" t="s">
        <v>327</v>
      </c>
      <c r="O8" t="s">
        <v>296</v>
      </c>
      <c r="P8" t="s">
        <v>339</v>
      </c>
      <c r="Q8" t="s">
        <v>323</v>
      </c>
      <c r="R8" t="s">
        <v>340</v>
      </c>
      <c r="S8" t="s">
        <v>341</v>
      </c>
      <c r="T8" s="21">
        <v>20</v>
      </c>
      <c r="U8">
        <v>36</v>
      </c>
      <c r="V8" t="s">
        <v>60</v>
      </c>
      <c r="W8" s="11">
        <v>45597</v>
      </c>
      <c r="X8" t="s">
        <v>342</v>
      </c>
      <c r="Y8" t="s">
        <v>336</v>
      </c>
      <c r="Z8">
        <v>2024</v>
      </c>
      <c r="AA8" s="11">
        <v>45362</v>
      </c>
      <c r="AB8" t="s">
        <v>343</v>
      </c>
      <c r="AC8" s="21" t="s">
        <v>321</v>
      </c>
      <c r="AD8" t="s">
        <v>347</v>
      </c>
      <c r="AE8">
        <v>16</v>
      </c>
      <c r="AH8" s="34">
        <v>0.95805555555555555</v>
      </c>
    </row>
    <row r="9" spans="2:45" x14ac:dyDescent="0.35">
      <c r="B9">
        <v>6</v>
      </c>
      <c r="C9" t="s">
        <v>381</v>
      </c>
      <c r="D9">
        <v>7204216550</v>
      </c>
      <c r="E9" t="s">
        <v>382</v>
      </c>
      <c r="F9" t="s">
        <v>326</v>
      </c>
      <c r="J9">
        <v>6</v>
      </c>
      <c r="K9" t="s">
        <v>337</v>
      </c>
      <c r="L9">
        <v>7294706063</v>
      </c>
      <c r="M9" t="s">
        <v>338</v>
      </c>
      <c r="N9" t="s">
        <v>327</v>
      </c>
      <c r="O9" t="s">
        <v>296</v>
      </c>
      <c r="P9" t="s">
        <v>344</v>
      </c>
      <c r="Q9" t="s">
        <v>323</v>
      </c>
      <c r="R9" t="s">
        <v>345</v>
      </c>
      <c r="S9" t="s">
        <v>345</v>
      </c>
      <c r="T9" s="21">
        <v>0</v>
      </c>
      <c r="U9">
        <v>270</v>
      </c>
      <c r="V9" t="s">
        <v>60</v>
      </c>
      <c r="W9" s="11">
        <v>45597</v>
      </c>
      <c r="X9" t="s">
        <v>342</v>
      </c>
      <c r="Y9" t="s">
        <v>336</v>
      </c>
      <c r="Z9">
        <v>2024</v>
      </c>
      <c r="AA9" s="11">
        <v>45576</v>
      </c>
      <c r="AB9" t="s">
        <v>346</v>
      </c>
      <c r="AC9" s="21" t="s">
        <v>321</v>
      </c>
      <c r="AD9" t="s">
        <v>347</v>
      </c>
      <c r="AE9">
        <v>270</v>
      </c>
      <c r="AH9" s="34">
        <v>0.96119212962962963</v>
      </c>
    </row>
    <row r="10" spans="2:45" x14ac:dyDescent="0.35">
      <c r="B10">
        <v>7</v>
      </c>
      <c r="C10" t="s">
        <v>390</v>
      </c>
      <c r="D10">
        <v>7227592375</v>
      </c>
      <c r="E10" t="s">
        <v>391</v>
      </c>
      <c r="F10" t="s">
        <v>326</v>
      </c>
      <c r="J10">
        <v>7</v>
      </c>
      <c r="K10" t="s">
        <v>348</v>
      </c>
      <c r="L10">
        <v>7224103606</v>
      </c>
      <c r="M10" t="s">
        <v>349</v>
      </c>
      <c r="N10" t="s">
        <v>326</v>
      </c>
      <c r="O10" t="s">
        <v>296</v>
      </c>
      <c r="P10" t="s">
        <v>350</v>
      </c>
      <c r="Q10" t="s">
        <v>323</v>
      </c>
      <c r="R10" t="s">
        <v>351</v>
      </c>
      <c r="S10" t="s">
        <v>352</v>
      </c>
      <c r="T10" s="21">
        <v>66</v>
      </c>
      <c r="U10">
        <v>66</v>
      </c>
      <c r="V10" t="s">
        <v>80</v>
      </c>
      <c r="W10" s="11">
        <v>45597</v>
      </c>
      <c r="X10" t="s">
        <v>342</v>
      </c>
      <c r="Y10" t="s">
        <v>336</v>
      </c>
      <c r="Z10">
        <v>2024</v>
      </c>
      <c r="AA10" s="11">
        <v>45576</v>
      </c>
      <c r="AB10" t="s">
        <v>353</v>
      </c>
      <c r="AC10" s="21" t="s">
        <v>321</v>
      </c>
      <c r="AD10" t="s">
        <v>347</v>
      </c>
      <c r="AE10">
        <v>0</v>
      </c>
      <c r="AH10" s="34">
        <v>0.96978009259259257</v>
      </c>
    </row>
    <row r="11" spans="2:45" x14ac:dyDescent="0.35">
      <c r="B11">
        <v>8</v>
      </c>
      <c r="C11" t="s">
        <v>398</v>
      </c>
      <c r="D11">
        <v>7231132742</v>
      </c>
      <c r="E11" t="s">
        <v>399</v>
      </c>
      <c r="F11" t="s">
        <v>326</v>
      </c>
      <c r="J11">
        <v>8</v>
      </c>
      <c r="K11" t="s">
        <v>348</v>
      </c>
      <c r="L11">
        <v>7224103606</v>
      </c>
      <c r="M11" t="s">
        <v>349</v>
      </c>
      <c r="N11" t="s">
        <v>326</v>
      </c>
      <c r="O11" t="s">
        <v>297</v>
      </c>
      <c r="P11" t="s">
        <v>354</v>
      </c>
      <c r="Q11" t="s">
        <v>317</v>
      </c>
      <c r="R11" t="s">
        <v>355</v>
      </c>
      <c r="S11" t="s">
        <v>356</v>
      </c>
      <c r="T11" s="21">
        <v>0</v>
      </c>
      <c r="U11">
        <v>130</v>
      </c>
      <c r="V11" t="s">
        <v>60</v>
      </c>
      <c r="W11" s="11">
        <v>45597</v>
      </c>
      <c r="X11" t="s">
        <v>342</v>
      </c>
      <c r="Y11" t="s">
        <v>336</v>
      </c>
      <c r="Z11">
        <v>2024</v>
      </c>
      <c r="AA11" s="11">
        <v>45576</v>
      </c>
      <c r="AB11" t="s">
        <v>357</v>
      </c>
      <c r="AC11" s="21" t="s">
        <v>321</v>
      </c>
      <c r="AD11" t="s">
        <v>347</v>
      </c>
      <c r="AE11">
        <v>130</v>
      </c>
      <c r="AH11" s="34">
        <v>0.97133101851851855</v>
      </c>
    </row>
    <row r="12" spans="2:45" x14ac:dyDescent="0.35">
      <c r="B12">
        <v>9</v>
      </c>
      <c r="C12" t="s">
        <v>402</v>
      </c>
      <c r="D12">
        <v>1234567890</v>
      </c>
      <c r="E12" t="s">
        <v>403</v>
      </c>
      <c r="F12" t="s">
        <v>326</v>
      </c>
      <c r="J12">
        <v>9</v>
      </c>
      <c r="K12" t="s">
        <v>360</v>
      </c>
      <c r="L12">
        <v>5535913617</v>
      </c>
      <c r="M12" t="s">
        <v>361</v>
      </c>
      <c r="N12" t="s">
        <v>326</v>
      </c>
      <c r="O12" t="s">
        <v>296</v>
      </c>
      <c r="P12">
        <v>9</v>
      </c>
      <c r="Q12">
        <v>2.4750000000000001</v>
      </c>
      <c r="R12">
        <v>19.5</v>
      </c>
      <c r="S12">
        <v>48</v>
      </c>
      <c r="T12" s="21">
        <v>48</v>
      </c>
      <c r="U12" s="18">
        <v>48</v>
      </c>
      <c r="V12" t="s">
        <v>60</v>
      </c>
      <c r="W12" s="11">
        <v>45598</v>
      </c>
      <c r="X12" t="s">
        <v>362</v>
      </c>
      <c r="Y12" t="s">
        <v>336</v>
      </c>
      <c r="Z12">
        <v>2024</v>
      </c>
      <c r="AA12" s="11">
        <v>45333</v>
      </c>
      <c r="AB12" t="s">
        <v>363</v>
      </c>
      <c r="AC12" s="21" t="s">
        <v>321</v>
      </c>
      <c r="AD12" t="s">
        <v>365</v>
      </c>
      <c r="AE12">
        <v>6</v>
      </c>
      <c r="AH12" s="34">
        <v>0.46925925925925926</v>
      </c>
    </row>
    <row r="13" spans="2:45" x14ac:dyDescent="0.35">
      <c r="B13">
        <v>10</v>
      </c>
      <c r="C13" t="s">
        <v>410</v>
      </c>
      <c r="D13">
        <v>1234567890</v>
      </c>
      <c r="E13" t="s">
        <v>411</v>
      </c>
      <c r="F13" t="s">
        <v>326</v>
      </c>
      <c r="J13">
        <v>10</v>
      </c>
      <c r="K13" t="s">
        <v>358</v>
      </c>
      <c r="L13">
        <v>1234567890</v>
      </c>
      <c r="M13" t="s">
        <v>359</v>
      </c>
      <c r="N13" t="s">
        <v>326</v>
      </c>
      <c r="O13" t="s">
        <v>296</v>
      </c>
      <c r="P13">
        <v>9</v>
      </c>
      <c r="Q13">
        <v>2</v>
      </c>
      <c r="R13">
        <v>19.5</v>
      </c>
      <c r="S13">
        <v>39</v>
      </c>
      <c r="T13" s="21">
        <v>39</v>
      </c>
      <c r="U13">
        <v>39</v>
      </c>
      <c r="V13" t="s">
        <v>80</v>
      </c>
      <c r="W13" s="11">
        <v>45598</v>
      </c>
      <c r="X13" t="s">
        <v>362</v>
      </c>
      <c r="Y13" t="s">
        <v>336</v>
      </c>
      <c r="Z13">
        <v>2024</v>
      </c>
      <c r="AA13" s="11">
        <v>45362</v>
      </c>
      <c r="AB13" t="s">
        <v>364</v>
      </c>
      <c r="AC13" s="21" t="s">
        <v>321</v>
      </c>
      <c r="AD13" t="s">
        <v>365</v>
      </c>
      <c r="AE13">
        <v>0</v>
      </c>
      <c r="AH13" s="34">
        <v>0.47185185185185186</v>
      </c>
    </row>
    <row r="14" spans="2:45" x14ac:dyDescent="0.35">
      <c r="B14">
        <v>11</v>
      </c>
      <c r="C14" t="s">
        <v>414</v>
      </c>
      <c r="D14">
        <v>5564134116</v>
      </c>
      <c r="E14" t="s">
        <v>415</v>
      </c>
      <c r="F14" t="s">
        <v>326</v>
      </c>
      <c r="J14">
        <v>11</v>
      </c>
      <c r="K14" t="s">
        <v>360</v>
      </c>
      <c r="L14">
        <v>5535913617</v>
      </c>
      <c r="M14" t="s">
        <v>361</v>
      </c>
      <c r="N14" t="s">
        <v>326</v>
      </c>
      <c r="O14" t="s">
        <v>296</v>
      </c>
      <c r="P14">
        <v>9</v>
      </c>
      <c r="Q14">
        <v>2.4750000000000001</v>
      </c>
      <c r="R14">
        <v>19.5</v>
      </c>
      <c r="S14">
        <v>48</v>
      </c>
      <c r="T14" s="21">
        <v>48</v>
      </c>
      <c r="U14">
        <v>48</v>
      </c>
      <c r="V14" t="s">
        <v>80</v>
      </c>
      <c r="W14" s="11">
        <v>45598</v>
      </c>
      <c r="X14" t="s">
        <v>362</v>
      </c>
      <c r="Y14" t="s">
        <v>336</v>
      </c>
      <c r="Z14">
        <v>2024</v>
      </c>
      <c r="AA14" s="11">
        <v>45333</v>
      </c>
      <c r="AB14" t="s">
        <v>373</v>
      </c>
      <c r="AC14" s="21" t="s">
        <v>321</v>
      </c>
      <c r="AD14" t="s">
        <v>365</v>
      </c>
      <c r="AE14">
        <v>0</v>
      </c>
      <c r="AH14" s="34">
        <v>0.50009259259259264</v>
      </c>
    </row>
    <row r="15" spans="2:45" x14ac:dyDescent="0.35">
      <c r="B15">
        <v>12</v>
      </c>
      <c r="C15" t="s">
        <v>419</v>
      </c>
      <c r="D15">
        <v>1234567890</v>
      </c>
      <c r="E15" t="s">
        <v>420</v>
      </c>
      <c r="F15" t="s">
        <v>326</v>
      </c>
      <c r="J15">
        <v>12</v>
      </c>
      <c r="K15" t="s">
        <v>374</v>
      </c>
      <c r="L15">
        <v>7224560206</v>
      </c>
      <c r="M15" t="s">
        <v>375</v>
      </c>
      <c r="N15" t="s">
        <v>326</v>
      </c>
      <c r="O15" t="s">
        <v>298</v>
      </c>
      <c r="P15" t="s">
        <v>376</v>
      </c>
      <c r="Q15" t="s">
        <v>377</v>
      </c>
      <c r="R15" t="s">
        <v>378</v>
      </c>
      <c r="S15" t="s">
        <v>379</v>
      </c>
      <c r="T15" s="21">
        <v>7</v>
      </c>
      <c r="U15">
        <v>7</v>
      </c>
      <c r="V15" t="s">
        <v>80</v>
      </c>
      <c r="W15" s="11">
        <v>45598</v>
      </c>
      <c r="X15" t="s">
        <v>362</v>
      </c>
      <c r="Y15" t="s">
        <v>336</v>
      </c>
      <c r="Z15">
        <v>2024</v>
      </c>
      <c r="AA15" s="11">
        <v>45333</v>
      </c>
      <c r="AB15" t="s">
        <v>380</v>
      </c>
      <c r="AC15" s="21" t="s">
        <v>321</v>
      </c>
      <c r="AD15" t="s">
        <v>365</v>
      </c>
      <c r="AE15">
        <v>0</v>
      </c>
      <c r="AH15" s="34">
        <v>0.50238425925925922</v>
      </c>
    </row>
    <row r="16" spans="2:45" x14ac:dyDescent="0.35">
      <c r="B16">
        <v>13</v>
      </c>
      <c r="C16" t="s">
        <v>424</v>
      </c>
      <c r="D16">
        <v>1234567890</v>
      </c>
      <c r="E16" t="s">
        <v>425</v>
      </c>
      <c r="F16" t="s">
        <v>326</v>
      </c>
      <c r="J16">
        <v>13</v>
      </c>
      <c r="K16" t="s">
        <v>381</v>
      </c>
      <c r="L16">
        <v>7204216550</v>
      </c>
      <c r="M16" t="s">
        <v>382</v>
      </c>
      <c r="N16" t="s">
        <v>326</v>
      </c>
      <c r="O16" t="s">
        <v>296</v>
      </c>
      <c r="P16">
        <v>9</v>
      </c>
      <c r="Q16">
        <v>3.34</v>
      </c>
      <c r="R16">
        <v>19.5</v>
      </c>
      <c r="S16">
        <v>65</v>
      </c>
      <c r="T16">
        <v>0</v>
      </c>
      <c r="U16">
        <v>65</v>
      </c>
      <c r="V16" t="s">
        <v>60</v>
      </c>
      <c r="W16" s="11">
        <v>45598</v>
      </c>
      <c r="X16" t="s">
        <v>362</v>
      </c>
      <c r="Y16" t="s">
        <v>336</v>
      </c>
      <c r="Z16">
        <v>2024</v>
      </c>
      <c r="AA16" s="11">
        <v>45362</v>
      </c>
      <c r="AB16" t="s">
        <v>383</v>
      </c>
      <c r="AC16" s="18" t="s">
        <v>83</v>
      </c>
      <c r="AH16" s="34">
        <v>0.52454861111111106</v>
      </c>
    </row>
    <row r="17" spans="2:34" x14ac:dyDescent="0.35">
      <c r="B17">
        <v>14</v>
      </c>
      <c r="C17" t="s">
        <v>313</v>
      </c>
      <c r="D17">
        <v>7292492041</v>
      </c>
      <c r="E17" t="s">
        <v>428</v>
      </c>
      <c r="F17" t="s">
        <v>326</v>
      </c>
      <c r="J17">
        <v>14</v>
      </c>
      <c r="K17" t="s">
        <v>358</v>
      </c>
      <c r="L17">
        <v>1234567890</v>
      </c>
      <c r="M17" t="s">
        <v>359</v>
      </c>
      <c r="N17" t="s">
        <v>326</v>
      </c>
      <c r="O17" t="s">
        <v>296</v>
      </c>
      <c r="P17" t="s">
        <v>385</v>
      </c>
      <c r="Q17" t="s">
        <v>386</v>
      </c>
      <c r="R17" t="s">
        <v>387</v>
      </c>
      <c r="S17" s="20" t="s">
        <v>388</v>
      </c>
      <c r="T17" s="21">
        <v>41</v>
      </c>
      <c r="U17">
        <v>46</v>
      </c>
      <c r="V17" t="s">
        <v>80</v>
      </c>
      <c r="W17" s="11">
        <v>45598</v>
      </c>
      <c r="X17" t="s">
        <v>362</v>
      </c>
      <c r="Y17" t="s">
        <v>336</v>
      </c>
      <c r="Z17">
        <v>2024</v>
      </c>
      <c r="AA17" s="11">
        <v>45362</v>
      </c>
      <c r="AB17" t="s">
        <v>389</v>
      </c>
      <c r="AC17" s="18" t="s">
        <v>83</v>
      </c>
      <c r="AH17" s="34">
        <v>0.52844907407407404</v>
      </c>
    </row>
    <row r="18" spans="2:34" x14ac:dyDescent="0.35">
      <c r="B18">
        <v>15</v>
      </c>
      <c r="C18" t="s">
        <v>435</v>
      </c>
      <c r="D18">
        <v>7223739021</v>
      </c>
      <c r="E18" t="s">
        <v>436</v>
      </c>
      <c r="F18" t="s">
        <v>326</v>
      </c>
      <c r="J18">
        <v>15</v>
      </c>
      <c r="K18" t="s">
        <v>390</v>
      </c>
      <c r="L18">
        <v>7227592375</v>
      </c>
      <c r="M18" t="s">
        <v>391</v>
      </c>
      <c r="N18" t="s">
        <v>326</v>
      </c>
      <c r="O18" t="s">
        <v>296</v>
      </c>
      <c r="P18">
        <v>15</v>
      </c>
      <c r="Q18">
        <v>1</v>
      </c>
      <c r="R18">
        <v>70</v>
      </c>
      <c r="S18">
        <v>70</v>
      </c>
      <c r="T18">
        <v>70</v>
      </c>
      <c r="U18">
        <v>70</v>
      </c>
      <c r="V18" t="s">
        <v>80</v>
      </c>
      <c r="W18" s="11">
        <v>45598</v>
      </c>
      <c r="X18" t="s">
        <v>362</v>
      </c>
      <c r="Y18" t="s">
        <v>336</v>
      </c>
      <c r="Z18">
        <v>2024</v>
      </c>
      <c r="AA18" s="11">
        <v>45393</v>
      </c>
      <c r="AB18" t="s">
        <v>392</v>
      </c>
      <c r="AC18" s="18" t="s">
        <v>83</v>
      </c>
      <c r="AH18" s="34">
        <v>0.5436805555555555</v>
      </c>
    </row>
    <row r="19" spans="2:34" x14ac:dyDescent="0.35">
      <c r="B19">
        <v>16</v>
      </c>
      <c r="C19" t="s">
        <v>442</v>
      </c>
      <c r="D19">
        <v>7221016127</v>
      </c>
      <c r="E19" t="s">
        <v>443</v>
      </c>
      <c r="F19" t="s">
        <v>326</v>
      </c>
      <c r="J19">
        <v>16</v>
      </c>
      <c r="K19" t="s">
        <v>398</v>
      </c>
      <c r="L19">
        <v>7231132742</v>
      </c>
      <c r="M19" t="s">
        <v>399</v>
      </c>
      <c r="N19" t="s">
        <v>326</v>
      </c>
      <c r="O19" t="s">
        <v>296</v>
      </c>
      <c r="P19">
        <v>9</v>
      </c>
      <c r="Q19">
        <v>3.39</v>
      </c>
      <c r="R19">
        <v>19.5</v>
      </c>
      <c r="S19">
        <v>66</v>
      </c>
      <c r="T19">
        <v>66</v>
      </c>
      <c r="U19">
        <v>66</v>
      </c>
      <c r="V19" t="s">
        <v>80</v>
      </c>
      <c r="W19" s="11">
        <v>45599</v>
      </c>
      <c r="X19" t="s">
        <v>400</v>
      </c>
      <c r="Y19" t="s">
        <v>336</v>
      </c>
      <c r="Z19">
        <v>2024</v>
      </c>
      <c r="AA19" s="11">
        <v>45393</v>
      </c>
      <c r="AB19" t="s">
        <v>401</v>
      </c>
      <c r="AC19" s="18" t="s">
        <v>83</v>
      </c>
      <c r="AH19" s="34">
        <v>0.52312499999999995</v>
      </c>
    </row>
    <row r="20" spans="2:34" x14ac:dyDescent="0.35">
      <c r="B20">
        <v>17</v>
      </c>
      <c r="C20" t="s">
        <v>447</v>
      </c>
      <c r="D20">
        <v>7221238065</v>
      </c>
      <c r="E20" t="s">
        <v>448</v>
      </c>
      <c r="F20" t="s">
        <v>326</v>
      </c>
      <c r="J20">
        <v>17</v>
      </c>
      <c r="K20" t="s">
        <v>402</v>
      </c>
      <c r="L20">
        <v>1234567890</v>
      </c>
      <c r="M20" t="s">
        <v>403</v>
      </c>
      <c r="N20" t="s">
        <v>326</v>
      </c>
      <c r="O20" t="s">
        <v>296</v>
      </c>
      <c r="P20" t="s">
        <v>405</v>
      </c>
      <c r="Q20" t="s">
        <v>317</v>
      </c>
      <c r="R20" t="s">
        <v>406</v>
      </c>
      <c r="S20" t="s">
        <v>407</v>
      </c>
      <c r="T20" s="21">
        <v>0</v>
      </c>
      <c r="U20">
        <v>234</v>
      </c>
      <c r="V20" t="s">
        <v>60</v>
      </c>
      <c r="W20" s="11">
        <v>45599</v>
      </c>
      <c r="X20" t="s">
        <v>400</v>
      </c>
      <c r="Y20" t="s">
        <v>336</v>
      </c>
      <c r="Z20">
        <v>2024</v>
      </c>
      <c r="AA20" s="11" t="s">
        <v>404</v>
      </c>
      <c r="AB20" t="s">
        <v>408</v>
      </c>
      <c r="AC20" s="18" t="s">
        <v>83</v>
      </c>
      <c r="AH20" s="34">
        <v>0.57321759259259264</v>
      </c>
    </row>
    <row r="21" spans="2:34" x14ac:dyDescent="0.35">
      <c r="B21">
        <v>18</v>
      </c>
      <c r="C21" t="s">
        <v>454</v>
      </c>
      <c r="D21">
        <v>7293489508</v>
      </c>
      <c r="E21" t="s">
        <v>455</v>
      </c>
      <c r="F21" t="s">
        <v>326</v>
      </c>
      <c r="J21">
        <v>18</v>
      </c>
      <c r="K21" t="s">
        <v>374</v>
      </c>
      <c r="L21">
        <v>7224560206</v>
      </c>
      <c r="M21" t="s">
        <v>375</v>
      </c>
      <c r="N21" t="s">
        <v>326</v>
      </c>
      <c r="O21" t="s">
        <v>296</v>
      </c>
      <c r="P21">
        <v>26</v>
      </c>
      <c r="Q21">
        <v>1</v>
      </c>
      <c r="R21">
        <v>20</v>
      </c>
      <c r="S21">
        <v>20</v>
      </c>
      <c r="T21" s="21">
        <v>0</v>
      </c>
      <c r="U21">
        <v>20</v>
      </c>
      <c r="V21" t="s">
        <v>60</v>
      </c>
      <c r="W21" s="11">
        <v>45599</v>
      </c>
      <c r="X21" t="s">
        <v>400</v>
      </c>
      <c r="Y21" t="s">
        <v>336</v>
      </c>
      <c r="Z21">
        <v>2024</v>
      </c>
      <c r="AA21" s="11">
        <v>45362</v>
      </c>
      <c r="AB21" t="s">
        <v>409</v>
      </c>
      <c r="AC21" s="18" t="s">
        <v>83</v>
      </c>
      <c r="AH21" s="34">
        <v>0.57496527777777773</v>
      </c>
    </row>
    <row r="22" spans="2:34" x14ac:dyDescent="0.35">
      <c r="B22">
        <v>19</v>
      </c>
      <c r="C22" t="s">
        <v>461</v>
      </c>
      <c r="D22">
        <v>3115439365</v>
      </c>
      <c r="E22" t="s">
        <v>462</v>
      </c>
      <c r="F22" t="s">
        <v>326</v>
      </c>
      <c r="J22">
        <v>19</v>
      </c>
      <c r="K22" t="s">
        <v>410</v>
      </c>
      <c r="L22">
        <v>1234567890</v>
      </c>
      <c r="M22" t="s">
        <v>411</v>
      </c>
      <c r="N22" t="s">
        <v>326</v>
      </c>
      <c r="O22" t="s">
        <v>296</v>
      </c>
      <c r="P22">
        <v>3</v>
      </c>
      <c r="Q22">
        <v>1</v>
      </c>
      <c r="R22">
        <v>140</v>
      </c>
      <c r="S22">
        <v>140</v>
      </c>
      <c r="T22" s="21">
        <v>0</v>
      </c>
      <c r="U22">
        <v>140</v>
      </c>
      <c r="V22" t="s">
        <v>60</v>
      </c>
      <c r="W22" s="11">
        <v>45599</v>
      </c>
      <c r="X22" t="s">
        <v>400</v>
      </c>
      <c r="Y22" t="s">
        <v>336</v>
      </c>
      <c r="Z22">
        <v>2024</v>
      </c>
      <c r="AA22" s="11" t="s">
        <v>412</v>
      </c>
      <c r="AB22" t="s">
        <v>413</v>
      </c>
      <c r="AC22" s="18" t="s">
        <v>83</v>
      </c>
      <c r="AH22" s="34">
        <v>0.57800925925925928</v>
      </c>
    </row>
    <row r="23" spans="2:34" x14ac:dyDescent="0.35">
      <c r="B23">
        <v>20</v>
      </c>
      <c r="C23" t="s">
        <v>464</v>
      </c>
      <c r="D23">
        <v>123456789</v>
      </c>
      <c r="E23" t="s">
        <v>465</v>
      </c>
      <c r="F23" t="s">
        <v>326</v>
      </c>
      <c r="J23">
        <v>20</v>
      </c>
      <c r="K23" t="s">
        <v>414</v>
      </c>
      <c r="L23">
        <v>5564134116</v>
      </c>
      <c r="M23" t="s">
        <v>415</v>
      </c>
      <c r="N23" t="s">
        <v>326</v>
      </c>
      <c r="O23" t="s">
        <v>296</v>
      </c>
      <c r="P23" t="s">
        <v>416</v>
      </c>
      <c r="Q23" t="s">
        <v>323</v>
      </c>
      <c r="R23" t="s">
        <v>417</v>
      </c>
      <c r="S23" t="s">
        <v>417</v>
      </c>
      <c r="T23" s="21">
        <v>0</v>
      </c>
      <c r="U23">
        <v>158</v>
      </c>
      <c r="V23" t="s">
        <v>60</v>
      </c>
      <c r="W23" s="11">
        <v>45599</v>
      </c>
      <c r="X23" t="s">
        <v>400</v>
      </c>
      <c r="Y23" t="s">
        <v>336</v>
      </c>
      <c r="Z23">
        <v>2024</v>
      </c>
      <c r="AA23" s="11">
        <v>45606</v>
      </c>
      <c r="AB23" t="s">
        <v>418</v>
      </c>
      <c r="AC23" s="18" t="s">
        <v>83</v>
      </c>
      <c r="AH23" s="34">
        <v>0.57982638888888893</v>
      </c>
    </row>
    <row r="24" spans="2:34" x14ac:dyDescent="0.35">
      <c r="B24">
        <v>21</v>
      </c>
      <c r="C24" t="s">
        <v>467</v>
      </c>
      <c r="D24">
        <v>7223813802</v>
      </c>
      <c r="E24" t="s">
        <v>468</v>
      </c>
      <c r="F24" t="s">
        <v>326</v>
      </c>
      <c r="J24">
        <v>21</v>
      </c>
      <c r="K24" t="s">
        <v>419</v>
      </c>
      <c r="L24">
        <v>1234567890</v>
      </c>
      <c r="M24" t="s">
        <v>420</v>
      </c>
      <c r="N24" t="s">
        <v>326</v>
      </c>
      <c r="O24" t="s">
        <v>296</v>
      </c>
      <c r="P24" t="s">
        <v>421</v>
      </c>
      <c r="Q24" t="s">
        <v>323</v>
      </c>
      <c r="R24" t="s">
        <v>422</v>
      </c>
      <c r="S24" t="s">
        <v>422</v>
      </c>
      <c r="T24" s="21">
        <v>0</v>
      </c>
      <c r="U24">
        <v>88</v>
      </c>
      <c r="V24" t="s">
        <v>60</v>
      </c>
      <c r="W24" s="11">
        <v>45599</v>
      </c>
      <c r="X24" t="s">
        <v>400</v>
      </c>
      <c r="Y24" t="s">
        <v>336</v>
      </c>
      <c r="Z24">
        <v>2024</v>
      </c>
      <c r="AA24" s="11">
        <v>45606</v>
      </c>
      <c r="AB24" t="s">
        <v>423</v>
      </c>
      <c r="AC24" s="18" t="s">
        <v>83</v>
      </c>
      <c r="AH24" s="34">
        <v>0.58193287037037034</v>
      </c>
    </row>
    <row r="25" spans="2:34" x14ac:dyDescent="0.35">
      <c r="B25">
        <v>22</v>
      </c>
      <c r="C25" t="s">
        <v>470</v>
      </c>
      <c r="D25">
        <v>123456789</v>
      </c>
      <c r="E25" t="s">
        <v>471</v>
      </c>
      <c r="F25" t="s">
        <v>326</v>
      </c>
      <c r="J25">
        <v>22</v>
      </c>
      <c r="K25" t="s">
        <v>424</v>
      </c>
      <c r="L25">
        <v>1234567890</v>
      </c>
      <c r="M25" t="s">
        <v>425</v>
      </c>
      <c r="N25" t="s">
        <v>326</v>
      </c>
      <c r="O25" t="s">
        <v>296</v>
      </c>
      <c r="P25">
        <v>16</v>
      </c>
      <c r="Q25">
        <v>1</v>
      </c>
      <c r="R25">
        <v>80</v>
      </c>
      <c r="S25" s="20">
        <v>80</v>
      </c>
      <c r="T25" s="21">
        <v>80</v>
      </c>
      <c r="U25">
        <v>80</v>
      </c>
      <c r="V25" t="s">
        <v>80</v>
      </c>
      <c r="W25" s="11">
        <v>45599</v>
      </c>
      <c r="X25" t="s">
        <v>400</v>
      </c>
      <c r="Y25" t="s">
        <v>336</v>
      </c>
      <c r="Z25">
        <v>2024</v>
      </c>
      <c r="AA25" s="11" t="s">
        <v>426</v>
      </c>
      <c r="AB25" t="s">
        <v>427</v>
      </c>
      <c r="AC25" s="18" t="s">
        <v>83</v>
      </c>
      <c r="AH25" s="34">
        <v>0.5841319444444445</v>
      </c>
    </row>
    <row r="26" spans="2:34" x14ac:dyDescent="0.35">
      <c r="B26">
        <v>23</v>
      </c>
      <c r="C26" t="s">
        <v>473</v>
      </c>
      <c r="D26">
        <v>7293030393</v>
      </c>
      <c r="E26" t="s">
        <v>474</v>
      </c>
      <c r="F26" t="s">
        <v>326</v>
      </c>
      <c r="J26">
        <v>23</v>
      </c>
      <c r="K26" t="s">
        <v>313</v>
      </c>
      <c r="L26">
        <v>7292492041</v>
      </c>
      <c r="M26" t="s">
        <v>314</v>
      </c>
      <c r="N26" t="s">
        <v>326</v>
      </c>
      <c r="O26" t="s">
        <v>296</v>
      </c>
      <c r="P26" t="s">
        <v>430</v>
      </c>
      <c r="Q26" t="s">
        <v>431</v>
      </c>
      <c r="R26" t="s">
        <v>432</v>
      </c>
      <c r="S26" t="s">
        <v>433</v>
      </c>
      <c r="T26">
        <v>0</v>
      </c>
      <c r="U26">
        <v>179</v>
      </c>
      <c r="V26" t="s">
        <v>60</v>
      </c>
      <c r="W26" s="11">
        <v>45599</v>
      </c>
      <c r="X26" t="s">
        <v>400</v>
      </c>
      <c r="Y26" t="s">
        <v>336</v>
      </c>
      <c r="Z26">
        <v>2024</v>
      </c>
      <c r="AA26" s="11" t="s">
        <v>429</v>
      </c>
      <c r="AB26" t="s">
        <v>434</v>
      </c>
      <c r="AC26" s="18" t="s">
        <v>83</v>
      </c>
      <c r="AH26" s="34">
        <v>0.58604166666666668</v>
      </c>
    </row>
    <row r="27" spans="2:34" x14ac:dyDescent="0.35">
      <c r="B27">
        <v>24</v>
      </c>
      <c r="C27" t="s">
        <v>476</v>
      </c>
      <c r="D27">
        <v>123456789</v>
      </c>
      <c r="E27" t="s">
        <v>477</v>
      </c>
      <c r="F27" t="s">
        <v>326</v>
      </c>
      <c r="J27">
        <v>24</v>
      </c>
      <c r="K27" t="s">
        <v>435</v>
      </c>
      <c r="L27">
        <v>7223739021</v>
      </c>
      <c r="M27" t="s">
        <v>436</v>
      </c>
      <c r="N27" t="s">
        <v>326</v>
      </c>
      <c r="O27" t="s">
        <v>296</v>
      </c>
      <c r="P27" t="s">
        <v>438</v>
      </c>
      <c r="Q27" t="s">
        <v>439</v>
      </c>
      <c r="R27" t="s">
        <v>440</v>
      </c>
      <c r="S27" s="20" t="s">
        <v>440</v>
      </c>
      <c r="T27">
        <v>100</v>
      </c>
      <c r="U27">
        <v>111</v>
      </c>
      <c r="V27" t="s">
        <v>60</v>
      </c>
      <c r="W27" s="11">
        <v>45599</v>
      </c>
      <c r="X27" t="s">
        <v>400</v>
      </c>
      <c r="Y27" t="s">
        <v>336</v>
      </c>
      <c r="Z27">
        <v>2024</v>
      </c>
      <c r="AA27" s="11" t="s">
        <v>437</v>
      </c>
      <c r="AB27" t="s">
        <v>441</v>
      </c>
      <c r="AC27" s="18" t="s">
        <v>83</v>
      </c>
      <c r="AH27" s="34">
        <v>0.58811342592592597</v>
      </c>
    </row>
    <row r="28" spans="2:34" x14ac:dyDescent="0.35">
      <c r="B28">
        <v>25</v>
      </c>
      <c r="C28" t="s">
        <v>485</v>
      </c>
      <c r="D28">
        <v>7223565402</v>
      </c>
      <c r="E28" t="s">
        <v>486</v>
      </c>
      <c r="F28" t="s">
        <v>326</v>
      </c>
      <c r="J28">
        <v>25</v>
      </c>
      <c r="K28" t="s">
        <v>442</v>
      </c>
      <c r="L28">
        <v>7221016127</v>
      </c>
      <c r="M28" t="s">
        <v>443</v>
      </c>
      <c r="N28" t="s">
        <v>326</v>
      </c>
      <c r="O28" t="s">
        <v>296</v>
      </c>
      <c r="P28">
        <v>3</v>
      </c>
      <c r="Q28">
        <v>1</v>
      </c>
      <c r="R28">
        <v>140</v>
      </c>
      <c r="S28" s="20">
        <v>140</v>
      </c>
      <c r="T28">
        <v>0</v>
      </c>
      <c r="U28">
        <v>140</v>
      </c>
      <c r="V28" t="s">
        <v>60</v>
      </c>
      <c r="W28" s="11">
        <v>45599</v>
      </c>
      <c r="X28" t="s">
        <v>400</v>
      </c>
      <c r="Y28" t="s">
        <v>336</v>
      </c>
      <c r="Z28">
        <v>2024</v>
      </c>
      <c r="AA28" s="11">
        <v>45333</v>
      </c>
      <c r="AB28" t="s">
        <v>444</v>
      </c>
      <c r="AC28" s="18" t="s">
        <v>83</v>
      </c>
      <c r="AH28" s="34">
        <v>0.58958333333333335</v>
      </c>
    </row>
    <row r="29" spans="2:34" x14ac:dyDescent="0.35">
      <c r="B29">
        <v>26</v>
      </c>
      <c r="C29" t="s">
        <v>489</v>
      </c>
      <c r="D29">
        <v>7621102090</v>
      </c>
      <c r="E29" t="s">
        <v>490</v>
      </c>
      <c r="F29" t="s">
        <v>326</v>
      </c>
      <c r="J29">
        <v>26</v>
      </c>
      <c r="K29" t="s">
        <v>360</v>
      </c>
      <c r="L29">
        <v>5535913617</v>
      </c>
      <c r="M29" t="s">
        <v>361</v>
      </c>
      <c r="N29" t="s">
        <v>326</v>
      </c>
      <c r="O29" t="s">
        <v>296</v>
      </c>
      <c r="P29">
        <v>9</v>
      </c>
      <c r="Q29">
        <v>1.17</v>
      </c>
      <c r="R29">
        <v>19.5</v>
      </c>
      <c r="S29" s="20">
        <v>23</v>
      </c>
      <c r="T29">
        <v>23</v>
      </c>
      <c r="U29">
        <v>23</v>
      </c>
      <c r="V29" t="s">
        <v>80</v>
      </c>
      <c r="W29" s="11">
        <v>45599</v>
      </c>
      <c r="X29" t="s">
        <v>400</v>
      </c>
      <c r="Y29" t="s">
        <v>336</v>
      </c>
      <c r="Z29">
        <v>2024</v>
      </c>
      <c r="AA29" s="11" t="s">
        <v>445</v>
      </c>
      <c r="AB29" t="s">
        <v>446</v>
      </c>
      <c r="AC29" s="18" t="s">
        <v>83</v>
      </c>
      <c r="AH29" s="34">
        <v>0.59157407407407403</v>
      </c>
    </row>
    <row r="30" spans="2:34" x14ac:dyDescent="0.35">
      <c r="B30">
        <v>27</v>
      </c>
      <c r="C30" t="s">
        <v>492</v>
      </c>
      <c r="D30">
        <v>123456789</v>
      </c>
      <c r="E30" t="s">
        <v>493</v>
      </c>
      <c r="F30" t="s">
        <v>326</v>
      </c>
      <c r="J30">
        <v>27</v>
      </c>
      <c r="K30" t="s">
        <v>447</v>
      </c>
      <c r="L30">
        <v>7221238065</v>
      </c>
      <c r="M30" t="s">
        <v>448</v>
      </c>
      <c r="N30" t="s">
        <v>326</v>
      </c>
      <c r="O30" t="s">
        <v>296</v>
      </c>
      <c r="P30" t="s">
        <v>449</v>
      </c>
      <c r="Q30" t="s">
        <v>450</v>
      </c>
      <c r="R30" t="s">
        <v>451</v>
      </c>
      <c r="S30" s="20" t="s">
        <v>452</v>
      </c>
      <c r="T30">
        <v>218</v>
      </c>
      <c r="U30">
        <v>389</v>
      </c>
      <c r="V30" t="s">
        <v>60</v>
      </c>
      <c r="W30" s="11">
        <v>45599</v>
      </c>
      <c r="X30" t="s">
        <v>400</v>
      </c>
      <c r="Y30" t="s">
        <v>336</v>
      </c>
      <c r="Z30">
        <v>2024</v>
      </c>
      <c r="AA30" s="11">
        <v>45393</v>
      </c>
      <c r="AB30" t="s">
        <v>453</v>
      </c>
      <c r="AC30" s="18" t="s">
        <v>83</v>
      </c>
      <c r="AH30" s="34">
        <v>0.59599537037037043</v>
      </c>
    </row>
    <row r="31" spans="2:34" x14ac:dyDescent="0.35">
      <c r="B31">
        <v>28</v>
      </c>
      <c r="C31" t="s">
        <v>435</v>
      </c>
      <c r="D31">
        <v>7223739021</v>
      </c>
      <c r="E31" t="s">
        <v>495</v>
      </c>
      <c r="F31" t="s">
        <v>326</v>
      </c>
      <c r="J31">
        <v>28</v>
      </c>
      <c r="K31" t="s">
        <v>454</v>
      </c>
      <c r="L31">
        <v>7293489508</v>
      </c>
      <c r="M31" t="s">
        <v>455</v>
      </c>
      <c r="N31" t="s">
        <v>326</v>
      </c>
      <c r="O31" t="s">
        <v>296</v>
      </c>
      <c r="P31" t="s">
        <v>456</v>
      </c>
      <c r="Q31" t="s">
        <v>457</v>
      </c>
      <c r="R31" t="s">
        <v>458</v>
      </c>
      <c r="S31" s="20" t="s">
        <v>459</v>
      </c>
      <c r="T31">
        <v>167</v>
      </c>
      <c r="U31">
        <v>167</v>
      </c>
      <c r="V31" t="s">
        <v>80</v>
      </c>
      <c r="W31" s="11">
        <v>45599</v>
      </c>
      <c r="X31" t="s">
        <v>400</v>
      </c>
      <c r="Y31" t="s">
        <v>336</v>
      </c>
      <c r="Z31">
        <v>2024</v>
      </c>
      <c r="AA31" s="11" t="s">
        <v>445</v>
      </c>
      <c r="AB31" t="s">
        <v>460</v>
      </c>
      <c r="AC31" s="18" t="s">
        <v>83</v>
      </c>
      <c r="AH31" s="34">
        <v>0.59870370370370374</v>
      </c>
    </row>
    <row r="32" spans="2:34" x14ac:dyDescent="0.35">
      <c r="B32">
        <v>29</v>
      </c>
      <c r="C32" t="s">
        <v>497</v>
      </c>
      <c r="D32">
        <v>7292882561</v>
      </c>
      <c r="E32" t="s">
        <v>498</v>
      </c>
      <c r="F32" t="s">
        <v>326</v>
      </c>
      <c r="J32">
        <v>29</v>
      </c>
      <c r="K32" t="s">
        <v>461</v>
      </c>
      <c r="L32">
        <v>3115439365</v>
      </c>
      <c r="M32" t="s">
        <v>462</v>
      </c>
      <c r="N32" t="s">
        <v>326</v>
      </c>
      <c r="O32" t="s">
        <v>296</v>
      </c>
      <c r="P32">
        <v>9</v>
      </c>
      <c r="Q32">
        <v>2.36</v>
      </c>
      <c r="R32">
        <v>19.5</v>
      </c>
      <c r="S32" s="20">
        <v>46</v>
      </c>
      <c r="T32">
        <v>46</v>
      </c>
      <c r="U32">
        <v>46</v>
      </c>
      <c r="V32" t="s">
        <v>80</v>
      </c>
      <c r="W32" s="11">
        <v>45599</v>
      </c>
      <c r="X32" t="s">
        <v>400</v>
      </c>
      <c r="Y32" t="s">
        <v>336</v>
      </c>
      <c r="Z32">
        <v>2024</v>
      </c>
      <c r="AA32" s="11" t="s">
        <v>315</v>
      </c>
      <c r="AB32" t="s">
        <v>463</v>
      </c>
      <c r="AC32" s="18" t="s">
        <v>83</v>
      </c>
      <c r="AH32" s="34">
        <v>0.60018518518518515</v>
      </c>
    </row>
    <row r="33" spans="10:34" x14ac:dyDescent="0.35">
      <c r="J33">
        <v>30</v>
      </c>
      <c r="K33" t="s">
        <v>464</v>
      </c>
      <c r="L33">
        <v>123456789</v>
      </c>
      <c r="M33" t="s">
        <v>465</v>
      </c>
      <c r="N33" t="s">
        <v>326</v>
      </c>
      <c r="O33" t="s">
        <v>297</v>
      </c>
      <c r="P33">
        <v>5</v>
      </c>
      <c r="Q33">
        <v>2</v>
      </c>
      <c r="R33">
        <v>50</v>
      </c>
      <c r="S33" s="20">
        <v>100</v>
      </c>
      <c r="T33">
        <v>100</v>
      </c>
      <c r="U33">
        <v>100</v>
      </c>
      <c r="V33" t="s">
        <v>80</v>
      </c>
      <c r="W33" s="11">
        <v>45599</v>
      </c>
      <c r="X33" t="s">
        <v>400</v>
      </c>
      <c r="Y33" t="s">
        <v>336</v>
      </c>
      <c r="Z33">
        <v>2024</v>
      </c>
      <c r="AA33" s="11">
        <v>45454</v>
      </c>
      <c r="AB33" t="s">
        <v>466</v>
      </c>
      <c r="AC33" s="18" t="s">
        <v>83</v>
      </c>
      <c r="AH33" s="34">
        <v>0.60368055555555555</v>
      </c>
    </row>
    <row r="34" spans="10:34" x14ac:dyDescent="0.35">
      <c r="J34">
        <v>31</v>
      </c>
      <c r="K34" t="s">
        <v>467</v>
      </c>
      <c r="L34">
        <v>7223813802</v>
      </c>
      <c r="M34" t="s">
        <v>468</v>
      </c>
      <c r="N34" t="s">
        <v>326</v>
      </c>
      <c r="O34" t="s">
        <v>296</v>
      </c>
      <c r="P34">
        <v>1</v>
      </c>
      <c r="Q34">
        <v>1.99</v>
      </c>
      <c r="R34">
        <v>15.6</v>
      </c>
      <c r="S34" s="20">
        <v>31</v>
      </c>
      <c r="T34">
        <v>0</v>
      </c>
      <c r="U34">
        <v>31</v>
      </c>
      <c r="V34" t="s">
        <v>60</v>
      </c>
      <c r="W34" s="11">
        <v>45599</v>
      </c>
      <c r="X34" t="s">
        <v>400</v>
      </c>
      <c r="Y34" t="s">
        <v>336</v>
      </c>
      <c r="Z34">
        <v>2024</v>
      </c>
      <c r="AA34" s="11">
        <v>45423</v>
      </c>
      <c r="AB34" t="s">
        <v>469</v>
      </c>
      <c r="AC34" s="18" t="s">
        <v>83</v>
      </c>
      <c r="AH34" s="34">
        <v>0.60479166666666662</v>
      </c>
    </row>
    <row r="35" spans="10:34" x14ac:dyDescent="0.35">
      <c r="J35">
        <v>32</v>
      </c>
      <c r="K35" t="s">
        <v>470</v>
      </c>
      <c r="L35">
        <v>123456789</v>
      </c>
      <c r="M35" t="s">
        <v>471</v>
      </c>
      <c r="N35" t="s">
        <v>326</v>
      </c>
      <c r="O35" t="s">
        <v>296</v>
      </c>
      <c r="P35">
        <v>1</v>
      </c>
      <c r="Q35">
        <v>11.67</v>
      </c>
      <c r="R35">
        <v>15.6</v>
      </c>
      <c r="S35">
        <v>182</v>
      </c>
      <c r="T35" s="21">
        <v>0</v>
      </c>
      <c r="U35">
        <v>182</v>
      </c>
      <c r="V35" t="s">
        <v>60</v>
      </c>
      <c r="W35" s="11">
        <v>45599</v>
      </c>
      <c r="X35" t="s">
        <v>400</v>
      </c>
      <c r="Y35" t="s">
        <v>336</v>
      </c>
      <c r="Z35">
        <v>2024</v>
      </c>
      <c r="AA35" s="11">
        <v>45423</v>
      </c>
      <c r="AB35" t="s">
        <v>472</v>
      </c>
      <c r="AC35" s="18" t="s">
        <v>83</v>
      </c>
      <c r="AH35" s="34">
        <v>0.60594907407407406</v>
      </c>
    </row>
    <row r="36" spans="10:34" x14ac:dyDescent="0.35">
      <c r="J36">
        <v>33</v>
      </c>
      <c r="K36" t="s">
        <v>473</v>
      </c>
      <c r="L36">
        <v>7293030393</v>
      </c>
      <c r="M36" t="s">
        <v>474</v>
      </c>
      <c r="N36" t="s">
        <v>326</v>
      </c>
      <c r="O36" t="s">
        <v>296</v>
      </c>
      <c r="P36">
        <v>1</v>
      </c>
      <c r="Q36">
        <v>3.5350000000000001</v>
      </c>
      <c r="R36">
        <v>15.6</v>
      </c>
      <c r="S36">
        <v>55</v>
      </c>
      <c r="T36" s="21">
        <v>0</v>
      </c>
      <c r="U36">
        <v>55</v>
      </c>
      <c r="V36" t="s">
        <v>60</v>
      </c>
      <c r="W36" s="11">
        <v>45599</v>
      </c>
      <c r="X36" t="s">
        <v>400</v>
      </c>
      <c r="Y36" t="s">
        <v>336</v>
      </c>
      <c r="Z36">
        <v>2024</v>
      </c>
      <c r="AA36" s="11">
        <v>45302</v>
      </c>
      <c r="AB36" t="s">
        <v>475</v>
      </c>
      <c r="AC36" s="18" t="s">
        <v>83</v>
      </c>
      <c r="AH36" s="34">
        <v>0.60837962962962966</v>
      </c>
    </row>
    <row r="37" spans="10:34" x14ac:dyDescent="0.35">
      <c r="J37">
        <v>34</v>
      </c>
      <c r="K37" t="s">
        <v>476</v>
      </c>
      <c r="L37">
        <v>123456789</v>
      </c>
      <c r="M37" t="s">
        <v>477</v>
      </c>
      <c r="N37" t="s">
        <v>326</v>
      </c>
      <c r="O37" t="s">
        <v>296</v>
      </c>
      <c r="P37" t="s">
        <v>478</v>
      </c>
      <c r="Q37" t="s">
        <v>479</v>
      </c>
      <c r="R37" t="s">
        <v>480</v>
      </c>
      <c r="S37" t="s">
        <v>481</v>
      </c>
      <c r="T37">
        <v>180</v>
      </c>
      <c r="U37">
        <v>180</v>
      </c>
      <c r="V37" t="s">
        <v>80</v>
      </c>
      <c r="W37" s="11">
        <v>45599</v>
      </c>
      <c r="X37" t="s">
        <v>400</v>
      </c>
      <c r="Y37" t="s">
        <v>336</v>
      </c>
      <c r="Z37">
        <v>2024</v>
      </c>
      <c r="AA37" s="11">
        <v>45362</v>
      </c>
      <c r="AB37" t="s">
        <v>482</v>
      </c>
      <c r="AC37" s="18" t="s">
        <v>83</v>
      </c>
      <c r="AH37" s="34">
        <v>0.60978009259259258</v>
      </c>
    </row>
    <row r="38" spans="10:34" x14ac:dyDescent="0.35">
      <c r="J38">
        <v>35</v>
      </c>
      <c r="K38" t="s">
        <v>476</v>
      </c>
      <c r="L38">
        <v>123456789</v>
      </c>
      <c r="M38" t="s">
        <v>477</v>
      </c>
      <c r="N38" t="s">
        <v>326</v>
      </c>
      <c r="O38" t="s">
        <v>296</v>
      </c>
      <c r="P38">
        <v>9</v>
      </c>
      <c r="Q38">
        <v>6.9450000000000003</v>
      </c>
      <c r="R38">
        <v>19.5</v>
      </c>
      <c r="S38" s="41" t="s">
        <v>483</v>
      </c>
      <c r="T38">
        <v>35</v>
      </c>
      <c r="U38">
        <v>135</v>
      </c>
      <c r="V38" t="s">
        <v>60</v>
      </c>
      <c r="W38" s="11">
        <v>45599</v>
      </c>
      <c r="X38" t="s">
        <v>400</v>
      </c>
      <c r="Y38" t="s">
        <v>336</v>
      </c>
      <c r="Z38">
        <v>2024</v>
      </c>
      <c r="AA38" s="11">
        <v>45362</v>
      </c>
      <c r="AB38" t="s">
        <v>484</v>
      </c>
      <c r="AC38" s="18" t="s">
        <v>83</v>
      </c>
      <c r="AH38" s="34">
        <v>0.61072916666666666</v>
      </c>
    </row>
    <row r="39" spans="10:34" x14ac:dyDescent="0.35">
      <c r="J39">
        <v>36</v>
      </c>
      <c r="K39" t="s">
        <v>485</v>
      </c>
      <c r="L39">
        <v>7223565402</v>
      </c>
      <c r="M39" t="s">
        <v>486</v>
      </c>
      <c r="N39" t="s">
        <v>326</v>
      </c>
      <c r="O39" t="s">
        <v>296</v>
      </c>
      <c r="P39">
        <v>9</v>
      </c>
      <c r="Q39">
        <v>3.37</v>
      </c>
      <c r="R39">
        <v>19.5</v>
      </c>
      <c r="S39" s="20">
        <v>66</v>
      </c>
      <c r="T39">
        <v>0</v>
      </c>
      <c r="U39">
        <v>66</v>
      </c>
      <c r="V39" t="s">
        <v>60</v>
      </c>
      <c r="W39" s="11">
        <v>45599</v>
      </c>
      <c r="X39" t="s">
        <v>400</v>
      </c>
      <c r="Y39" t="s">
        <v>336</v>
      </c>
      <c r="Z39">
        <v>2024</v>
      </c>
      <c r="AA39" s="11">
        <v>45302</v>
      </c>
      <c r="AB39" t="s">
        <v>487</v>
      </c>
      <c r="AC39" s="18" t="s">
        <v>83</v>
      </c>
      <c r="AH39" s="34">
        <v>0.61262731481481481</v>
      </c>
    </row>
    <row r="40" spans="10:34" x14ac:dyDescent="0.35">
      <c r="J40">
        <v>37</v>
      </c>
      <c r="K40" t="s">
        <v>485</v>
      </c>
      <c r="L40">
        <v>7223565402</v>
      </c>
      <c r="M40" t="s">
        <v>486</v>
      </c>
      <c r="N40" t="s">
        <v>326</v>
      </c>
      <c r="O40" t="s">
        <v>296</v>
      </c>
      <c r="P40">
        <v>9</v>
      </c>
      <c r="Q40">
        <v>5.625</v>
      </c>
      <c r="R40">
        <v>19.5</v>
      </c>
      <c r="S40" s="20">
        <v>110</v>
      </c>
      <c r="T40">
        <v>0</v>
      </c>
      <c r="U40">
        <v>110</v>
      </c>
      <c r="V40" t="s">
        <v>60</v>
      </c>
      <c r="W40" s="11">
        <v>45599</v>
      </c>
      <c r="X40" t="s">
        <v>400</v>
      </c>
      <c r="Y40" t="s">
        <v>336</v>
      </c>
      <c r="Z40">
        <v>2024</v>
      </c>
      <c r="AA40" s="11">
        <v>45302</v>
      </c>
      <c r="AB40" t="s">
        <v>488</v>
      </c>
      <c r="AC40" s="18" t="s">
        <v>83</v>
      </c>
      <c r="AH40" s="34">
        <v>0.61332175925925925</v>
      </c>
    </row>
    <row r="41" spans="10:34" x14ac:dyDescent="0.35">
      <c r="J41">
        <v>38</v>
      </c>
      <c r="K41" t="s">
        <v>489</v>
      </c>
      <c r="L41">
        <v>7621102090</v>
      </c>
      <c r="M41" t="s">
        <v>490</v>
      </c>
      <c r="N41" t="s">
        <v>326</v>
      </c>
      <c r="O41" t="s">
        <v>296</v>
      </c>
      <c r="P41">
        <v>9</v>
      </c>
      <c r="Q41">
        <v>5.1950000000000003</v>
      </c>
      <c r="R41">
        <v>19.5</v>
      </c>
      <c r="S41">
        <v>101</v>
      </c>
      <c r="T41">
        <v>101</v>
      </c>
      <c r="U41">
        <v>101</v>
      </c>
      <c r="V41" t="s">
        <v>80</v>
      </c>
      <c r="W41" s="11">
        <v>45599</v>
      </c>
      <c r="X41" t="s">
        <v>400</v>
      </c>
      <c r="Y41" t="s">
        <v>336</v>
      </c>
      <c r="Z41">
        <v>2024</v>
      </c>
      <c r="AA41" s="11">
        <v>45362</v>
      </c>
      <c r="AB41" t="s">
        <v>491</v>
      </c>
      <c r="AC41" s="18" t="s">
        <v>83</v>
      </c>
      <c r="AH41" s="34">
        <v>0.61444444444444446</v>
      </c>
    </row>
    <row r="42" spans="10:34" x14ac:dyDescent="0.35">
      <c r="J42">
        <v>39</v>
      </c>
      <c r="K42" t="s">
        <v>492</v>
      </c>
      <c r="L42">
        <v>123456789</v>
      </c>
      <c r="M42" t="s">
        <v>493</v>
      </c>
      <c r="N42" t="s">
        <v>326</v>
      </c>
      <c r="O42" t="s">
        <v>296</v>
      </c>
      <c r="P42">
        <v>9</v>
      </c>
      <c r="Q42">
        <v>2.78</v>
      </c>
      <c r="R42">
        <v>19.5</v>
      </c>
      <c r="S42">
        <v>54</v>
      </c>
      <c r="T42">
        <v>0</v>
      </c>
      <c r="U42">
        <v>54</v>
      </c>
      <c r="V42" t="s">
        <v>60</v>
      </c>
      <c r="W42" s="11">
        <v>45599</v>
      </c>
      <c r="X42" t="s">
        <v>400</v>
      </c>
      <c r="Y42" t="s">
        <v>336</v>
      </c>
      <c r="Z42">
        <v>2024</v>
      </c>
      <c r="AA42" s="11">
        <v>45362</v>
      </c>
      <c r="AB42" t="s">
        <v>494</v>
      </c>
      <c r="AC42" s="18" t="s">
        <v>83</v>
      </c>
      <c r="AH42" s="34">
        <v>0.61703703703703705</v>
      </c>
    </row>
    <row r="43" spans="10:34" x14ac:dyDescent="0.35">
      <c r="J43">
        <v>40</v>
      </c>
      <c r="K43" t="s">
        <v>435</v>
      </c>
      <c r="L43">
        <v>7223739021</v>
      </c>
      <c r="M43" t="s">
        <v>436</v>
      </c>
      <c r="N43" t="s">
        <v>326</v>
      </c>
      <c r="O43" t="s">
        <v>296</v>
      </c>
      <c r="P43">
        <v>30</v>
      </c>
      <c r="Q43">
        <v>4</v>
      </c>
      <c r="R43">
        <v>35</v>
      </c>
      <c r="S43" s="20">
        <v>140</v>
      </c>
      <c r="T43">
        <v>0</v>
      </c>
      <c r="U43">
        <v>140</v>
      </c>
      <c r="V43" t="s">
        <v>60</v>
      </c>
      <c r="W43" s="11">
        <v>45599</v>
      </c>
      <c r="X43" t="s">
        <v>400</v>
      </c>
      <c r="Y43" t="s">
        <v>336</v>
      </c>
      <c r="Z43">
        <v>2024</v>
      </c>
      <c r="AA43" s="11">
        <v>45393</v>
      </c>
      <c r="AB43" t="s">
        <v>496</v>
      </c>
      <c r="AC43" s="18" t="s">
        <v>83</v>
      </c>
      <c r="AH43" s="34">
        <v>0.61806712962962962</v>
      </c>
    </row>
    <row r="44" spans="10:34" x14ac:dyDescent="0.35">
      <c r="J44">
        <v>41</v>
      </c>
      <c r="K44" t="s">
        <v>497</v>
      </c>
      <c r="L44">
        <v>7292882561</v>
      </c>
      <c r="M44" t="s">
        <v>498</v>
      </c>
      <c r="N44" t="s">
        <v>326</v>
      </c>
      <c r="O44" t="s">
        <v>296</v>
      </c>
      <c r="P44">
        <v>9</v>
      </c>
      <c r="Q44">
        <v>2.41</v>
      </c>
      <c r="R44">
        <v>19.5</v>
      </c>
      <c r="S44" s="20">
        <v>47</v>
      </c>
      <c r="T44" s="21">
        <v>47</v>
      </c>
      <c r="U44">
        <v>47</v>
      </c>
      <c r="V44" t="s">
        <v>80</v>
      </c>
      <c r="W44" s="11">
        <v>45599</v>
      </c>
      <c r="X44" t="s">
        <v>400</v>
      </c>
      <c r="Y44" t="s">
        <v>336</v>
      </c>
      <c r="Z44">
        <v>2024</v>
      </c>
      <c r="AA44" s="11">
        <v>45333</v>
      </c>
      <c r="AB44" t="s">
        <v>501</v>
      </c>
      <c r="AC44" s="21" t="s">
        <v>321</v>
      </c>
      <c r="AD44" t="s">
        <v>507</v>
      </c>
      <c r="AE44">
        <v>0</v>
      </c>
      <c r="AH44" s="34">
        <v>0.6191550925925926</v>
      </c>
    </row>
    <row r="45" spans="10:34" x14ac:dyDescent="0.35">
      <c r="S45" s="20"/>
      <c r="T45" s="21"/>
      <c r="W45" s="11"/>
      <c r="AA45" s="11"/>
      <c r="AC45" s="21"/>
    </row>
    <row r="46" spans="10:34" x14ac:dyDescent="0.35">
      <c r="S46" s="20"/>
      <c r="T46" s="21"/>
      <c r="W46" s="11"/>
      <c r="AC46" s="21"/>
      <c r="AD46" s="11"/>
    </row>
    <row r="47" spans="10:34" x14ac:dyDescent="0.35">
      <c r="T47" s="21"/>
      <c r="W47" s="11"/>
      <c r="AC47" s="21"/>
    </row>
    <row r="48" spans="10:34" x14ac:dyDescent="0.35">
      <c r="W48" s="11"/>
      <c r="AC48" s="18"/>
    </row>
    <row r="49" spans="20:34" x14ac:dyDescent="0.35">
      <c r="T49" s="21"/>
      <c r="W49" s="11"/>
      <c r="AC49" s="21"/>
      <c r="AH49" s="43"/>
    </row>
    <row r="50" spans="20:34" x14ac:dyDescent="0.35">
      <c r="T50" s="21"/>
      <c r="W50" s="11"/>
      <c r="AC50" s="21"/>
    </row>
    <row r="51" spans="20:34" x14ac:dyDescent="0.35">
      <c r="T51" s="21"/>
      <c r="W51" s="11"/>
      <c r="AC51" s="21"/>
    </row>
    <row r="52" spans="20:34" x14ac:dyDescent="0.35">
      <c r="W52" s="11"/>
      <c r="AC52" s="18"/>
      <c r="AH52" s="34"/>
    </row>
    <row r="53" spans="20:34" x14ac:dyDescent="0.35">
      <c r="W53" s="11"/>
      <c r="AC53" s="18"/>
      <c r="AH53" s="34"/>
    </row>
    <row r="54" spans="20:34" x14ac:dyDescent="0.35">
      <c r="W54" s="11"/>
      <c r="AC54" s="18"/>
      <c r="AH54" s="34"/>
    </row>
    <row r="55" spans="20:34" x14ac:dyDescent="0.35">
      <c r="W55" s="11"/>
      <c r="AC55" s="18"/>
      <c r="AH55" s="34"/>
    </row>
    <row r="56" spans="20:34" x14ac:dyDescent="0.35">
      <c r="W56" s="11"/>
      <c r="AC56" s="18"/>
      <c r="AH56" s="34"/>
    </row>
    <row r="57" spans="20:34" x14ac:dyDescent="0.35">
      <c r="W57" s="11"/>
      <c r="AA57" s="11"/>
      <c r="AC57" s="18"/>
      <c r="AH57" s="34"/>
    </row>
    <row r="58" spans="20:34" x14ac:dyDescent="0.35">
      <c r="W58" s="11"/>
      <c r="AC58" s="18"/>
      <c r="AH58" s="34"/>
    </row>
    <row r="59" spans="20:34" x14ac:dyDescent="0.35">
      <c r="W59" s="11"/>
      <c r="AC59" s="18"/>
      <c r="AH59" s="34"/>
    </row>
    <row r="60" spans="20:34" x14ac:dyDescent="0.35">
      <c r="W60" s="11"/>
      <c r="AC60" s="18"/>
      <c r="AH60" s="34"/>
    </row>
    <row r="61" spans="20:34" x14ac:dyDescent="0.35">
      <c r="W61" s="11"/>
      <c r="AC61" s="18"/>
      <c r="AH61" s="34"/>
    </row>
    <row r="62" spans="20:34" x14ac:dyDescent="0.35">
      <c r="W62" s="11"/>
      <c r="AC62" s="18"/>
      <c r="AH62" s="34"/>
    </row>
    <row r="63" spans="20:34" x14ac:dyDescent="0.35">
      <c r="W63" s="11"/>
      <c r="AC63" s="18"/>
      <c r="AH63" s="34"/>
    </row>
    <row r="64" spans="20:34" x14ac:dyDescent="0.35">
      <c r="W64" s="11"/>
      <c r="AC64" s="18"/>
      <c r="AH64" s="34"/>
    </row>
    <row r="65" spans="23:34" x14ac:dyDescent="0.35">
      <c r="W65" s="11"/>
      <c r="AC65" s="18"/>
      <c r="AH65" s="34"/>
    </row>
    <row r="66" spans="23:34" x14ac:dyDescent="0.35">
      <c r="W66" s="11"/>
      <c r="AC66" s="18"/>
      <c r="AH66" s="34"/>
    </row>
    <row r="67" spans="23:34" x14ac:dyDescent="0.35">
      <c r="W67" s="11"/>
      <c r="AC67" s="18"/>
      <c r="AH67" s="34"/>
    </row>
    <row r="68" spans="23:34" x14ac:dyDescent="0.35">
      <c r="W68" s="11"/>
      <c r="AC68" s="18"/>
      <c r="AH68" s="34"/>
    </row>
    <row r="69" spans="23:34" x14ac:dyDescent="0.35">
      <c r="W69" s="11"/>
      <c r="AC69" s="18"/>
      <c r="AH69" s="34"/>
    </row>
    <row r="70" spans="23:34" x14ac:dyDescent="0.35">
      <c r="W70" s="11"/>
      <c r="AC70" s="18"/>
      <c r="AH70" s="34"/>
    </row>
    <row r="71" spans="23:34" x14ac:dyDescent="0.35">
      <c r="W71" s="11"/>
      <c r="AC71" s="18"/>
      <c r="AH71" s="34"/>
    </row>
    <row r="72" spans="23:34" x14ac:dyDescent="0.35">
      <c r="W72" s="11"/>
      <c r="AC72" s="18"/>
      <c r="AH72" s="34"/>
    </row>
    <row r="73" spans="23:34" x14ac:dyDescent="0.35">
      <c r="W73" s="11"/>
      <c r="AC73" s="18"/>
      <c r="AH73" s="34"/>
    </row>
    <row r="74" spans="23:34" x14ac:dyDescent="0.35">
      <c r="W74" s="11"/>
      <c r="AC74" s="18"/>
      <c r="AH74" s="34"/>
    </row>
    <row r="75" spans="23:34" x14ac:dyDescent="0.35">
      <c r="W75" s="11"/>
      <c r="AC75" s="18"/>
      <c r="AH75" s="34"/>
    </row>
    <row r="76" spans="23:34" x14ac:dyDescent="0.35">
      <c r="W76" s="11"/>
      <c r="AC76" s="18"/>
      <c r="AH76" s="34"/>
    </row>
    <row r="77" spans="23:34" x14ac:dyDescent="0.35">
      <c r="W77" s="11"/>
      <c r="AC77" s="18"/>
      <c r="AH77" s="34"/>
    </row>
    <row r="78" spans="23:34" x14ac:dyDescent="0.35">
      <c r="W78" s="11"/>
      <c r="AC78" s="18"/>
      <c r="AH78" s="34"/>
    </row>
    <row r="79" spans="23:34" x14ac:dyDescent="0.35">
      <c r="W79" s="11"/>
      <c r="AC79" s="18"/>
      <c r="AH79" s="34"/>
    </row>
    <row r="80" spans="23:34" x14ac:dyDescent="0.35">
      <c r="W80" s="11"/>
      <c r="AC80" s="18"/>
      <c r="AH80" s="34"/>
    </row>
  </sheetData>
  <mergeCells count="2">
    <mergeCell ref="B2:F2"/>
    <mergeCell ref="J1:A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1F8F1-6FE6-4631-914D-6D91FAEB11E6}">
  <sheetPr codeName="Hoja5">
    <pageSetUpPr fitToPage="1"/>
  </sheetPr>
  <dimension ref="A1:I11"/>
  <sheetViews>
    <sheetView topLeftCell="A93" zoomScaleNormal="100" workbookViewId="0">
      <selection activeCell="I9" sqref="I9"/>
    </sheetView>
  </sheetViews>
  <sheetFormatPr baseColWidth="10" defaultRowHeight="14.5" x14ac:dyDescent="0.35"/>
  <cols>
    <col min="4" max="4" width="10.453125" bestFit="1" customWidth="1"/>
    <col min="5" max="5" width="10.453125" customWidth="1"/>
    <col min="6" max="6" width="10.54296875" customWidth="1"/>
  </cols>
  <sheetData>
    <row r="1" spans="1:9" ht="15" thickBot="1" x14ac:dyDescent="0.4"/>
    <row r="2" spans="1:9" x14ac:dyDescent="0.35">
      <c r="A2" s="54" t="s">
        <v>50</v>
      </c>
      <c r="B2" s="55"/>
      <c r="C2" s="55"/>
      <c r="D2" s="55"/>
      <c r="E2" s="55"/>
      <c r="F2" s="68"/>
      <c r="G2" s="69"/>
    </row>
    <row r="3" spans="1:9" x14ac:dyDescent="0.35">
      <c r="A3" s="56"/>
      <c r="B3" s="57"/>
      <c r="C3" s="57"/>
      <c r="D3" s="57"/>
      <c r="E3" s="57"/>
      <c r="F3" s="70"/>
      <c r="G3" s="71"/>
    </row>
    <row r="4" spans="1:9" ht="17.25" customHeight="1" thickBot="1" x14ac:dyDescent="0.4">
      <c r="A4" s="58"/>
      <c r="B4" s="59"/>
      <c r="C4" s="59"/>
      <c r="D4" s="59"/>
      <c r="E4" s="59"/>
      <c r="F4" s="70"/>
      <c r="G4" s="71"/>
    </row>
    <row r="5" spans="1:9" ht="15" thickBot="1" x14ac:dyDescent="0.4">
      <c r="A5" s="12" t="s">
        <v>48</v>
      </c>
      <c r="B5" s="74"/>
      <c r="C5" s="74"/>
      <c r="D5" s="74"/>
      <c r="E5" s="75"/>
      <c r="F5" s="70"/>
      <c r="G5" s="71"/>
    </row>
    <row r="6" spans="1:9" ht="15" thickBot="1" x14ac:dyDescent="0.4">
      <c r="A6" s="12" t="s">
        <v>49</v>
      </c>
      <c r="B6" s="6">
        <v>7292882561</v>
      </c>
      <c r="C6" s="5" t="s">
        <v>51</v>
      </c>
      <c r="D6" s="76" t="s">
        <v>296</v>
      </c>
      <c r="E6" s="77"/>
      <c r="F6" s="72"/>
      <c r="G6" s="73"/>
    </row>
    <row r="7" spans="1:9" ht="15.75" customHeight="1" thickBot="1" x14ac:dyDescent="0.4">
      <c r="A7" s="60" t="s">
        <v>62</v>
      </c>
      <c r="B7" s="61"/>
      <c r="C7" s="16">
        <v>45333</v>
      </c>
      <c r="D7" s="10" t="s">
        <v>63</v>
      </c>
      <c r="E7" s="17">
        <v>0.625</v>
      </c>
      <c r="F7" s="78" t="s">
        <v>52</v>
      </c>
      <c r="G7" s="79"/>
    </row>
    <row r="8" spans="1:9" ht="15" thickBot="1" x14ac:dyDescent="0.4">
      <c r="A8" s="62" t="s">
        <v>64</v>
      </c>
      <c r="B8" s="63"/>
      <c r="C8" s="63"/>
      <c r="D8" s="63"/>
      <c r="E8" s="64"/>
      <c r="F8" s="5" t="s">
        <v>499</v>
      </c>
      <c r="G8" s="13" t="s">
        <v>500</v>
      </c>
      <c r="I8" s="11"/>
    </row>
    <row r="9" spans="1:9" ht="15" thickBot="1" x14ac:dyDescent="0.4">
      <c r="A9" s="65"/>
      <c r="B9" s="66"/>
      <c r="C9" s="66"/>
      <c r="D9" s="66"/>
      <c r="E9" s="67"/>
      <c r="F9" s="4" t="s">
        <v>61</v>
      </c>
      <c r="G9" s="14">
        <f ca="1">TODAY()</f>
        <v>45599</v>
      </c>
    </row>
    <row r="10" spans="1:9" ht="15" thickBot="1" x14ac:dyDescent="0.4">
      <c r="A10" s="19" t="s">
        <v>79</v>
      </c>
      <c r="B10" s="80" t="s">
        <v>53</v>
      </c>
      <c r="C10" s="81"/>
      <c r="D10" s="82"/>
      <c r="E10" s="8" t="s">
        <v>54</v>
      </c>
      <c r="F10" s="9" t="s">
        <v>55</v>
      </c>
      <c r="G10" s="15" t="s">
        <v>56</v>
      </c>
    </row>
    <row r="11" spans="1:9" ht="15" thickBot="1" x14ac:dyDescent="0.4">
      <c r="A11" s="47"/>
      <c r="B11" s="53"/>
      <c r="C11" s="53"/>
      <c r="D11" s="53"/>
      <c r="E11" s="48"/>
      <c r="F11" s="48"/>
      <c r="G11" s="49"/>
    </row>
  </sheetData>
  <mergeCells count="9">
    <mergeCell ref="B11:D11"/>
    <mergeCell ref="A2:E4"/>
    <mergeCell ref="A7:B7"/>
    <mergeCell ref="A8:E9"/>
    <mergeCell ref="F2:G6"/>
    <mergeCell ref="B5:E5"/>
    <mergeCell ref="D6:E6"/>
    <mergeCell ref="F7:G7"/>
    <mergeCell ref="B10:D10"/>
  </mergeCells>
  <pageMargins left="1.2204724409448819" right="3.937007874015748E-2" top="0.15748031496062992" bottom="0.74803149606299213" header="0.31496062992125984" footer="0.31496062992125984"/>
  <pageSetup fitToHeight="0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A687E-102D-43EC-9C32-D91296D83757}">
  <sheetPr codeName="Hoja6"/>
  <dimension ref="B1:BR30"/>
  <sheetViews>
    <sheetView topLeftCell="T1" workbookViewId="0">
      <selection activeCell="X4" sqref="X4"/>
    </sheetView>
  </sheetViews>
  <sheetFormatPr baseColWidth="10" defaultRowHeight="14.5" x14ac:dyDescent="0.35"/>
  <cols>
    <col min="4" max="4" width="16.26953125" bestFit="1" customWidth="1"/>
    <col min="5" max="5" width="16.26953125" customWidth="1"/>
    <col min="7" max="8" width="14.81640625" bestFit="1" customWidth="1"/>
    <col min="17" max="17" width="19.1796875" customWidth="1"/>
    <col min="21" max="21" width="16.81640625" customWidth="1"/>
    <col min="25" max="25" width="16.81640625" customWidth="1"/>
    <col min="27" max="27" width="21.54296875" customWidth="1"/>
    <col min="29" max="29" width="16.81640625" customWidth="1"/>
    <col min="35" max="35" width="21.54296875" customWidth="1"/>
    <col min="47" max="47" width="12" customWidth="1"/>
    <col min="52" max="52" width="11.7265625" bestFit="1" customWidth="1"/>
    <col min="54" max="54" width="6.81640625" bestFit="1" customWidth="1"/>
    <col min="55" max="55" width="12.81640625" customWidth="1"/>
  </cols>
  <sheetData>
    <row r="1" spans="2:70" x14ac:dyDescent="0.35">
      <c r="Q1" s="83" t="s">
        <v>99</v>
      </c>
      <c r="R1" s="83"/>
      <c r="S1" s="83"/>
      <c r="T1" s="83"/>
      <c r="U1" s="83"/>
      <c r="X1" s="83" t="s">
        <v>132</v>
      </c>
      <c r="Y1" s="83"/>
      <c r="Z1" s="83"/>
      <c r="AA1" s="83"/>
      <c r="AB1" s="83"/>
      <c r="AC1" s="83"/>
      <c r="AD1" s="83"/>
      <c r="AE1" s="83"/>
      <c r="AG1" s="83" t="s">
        <v>133</v>
      </c>
      <c r="AH1" s="83"/>
      <c r="AI1" s="83"/>
      <c r="AJ1" s="83"/>
      <c r="AK1" s="83"/>
      <c r="AN1" s="83" t="s">
        <v>134</v>
      </c>
      <c r="AO1" s="83"/>
      <c r="AP1" s="83"/>
      <c r="AQ1" s="83"/>
      <c r="AR1" s="83"/>
      <c r="AU1" s="83" t="s">
        <v>146</v>
      </c>
      <c r="AV1" s="83"/>
      <c r="AW1" s="83"/>
      <c r="AZ1" s="83" t="s">
        <v>158</v>
      </c>
      <c r="BA1" s="83"/>
      <c r="BB1" s="83"/>
      <c r="BC1" s="83"/>
    </row>
    <row r="2" spans="2:70" x14ac:dyDescent="0.35">
      <c r="B2" t="s">
        <v>74</v>
      </c>
      <c r="C2" t="s">
        <v>4</v>
      </c>
      <c r="D2" t="s">
        <v>75</v>
      </c>
      <c r="E2" t="s">
        <v>78</v>
      </c>
      <c r="F2" t="s">
        <v>76</v>
      </c>
      <c r="G2" t="s">
        <v>72</v>
      </c>
      <c r="H2" t="s">
        <v>45</v>
      </c>
      <c r="I2" t="s">
        <v>77</v>
      </c>
      <c r="J2" t="s">
        <v>177</v>
      </c>
      <c r="Q2" t="s">
        <v>75</v>
      </c>
      <c r="R2" t="s">
        <v>14</v>
      </c>
      <c r="S2" t="s">
        <v>87</v>
      </c>
      <c r="T2" t="s">
        <v>86</v>
      </c>
      <c r="U2" t="s">
        <v>88</v>
      </c>
      <c r="X2" t="s">
        <v>102</v>
      </c>
      <c r="Y2" t="s">
        <v>97</v>
      </c>
      <c r="Z2" t="s">
        <v>98</v>
      </c>
      <c r="AA2" t="s">
        <v>103</v>
      </c>
      <c r="AB2" t="s">
        <v>86</v>
      </c>
      <c r="AC2" t="s">
        <v>88</v>
      </c>
      <c r="AD2" t="s">
        <v>101</v>
      </c>
      <c r="AE2" t="s">
        <v>100</v>
      </c>
      <c r="AG2" t="s">
        <v>101</v>
      </c>
      <c r="AH2" t="s">
        <v>117</v>
      </c>
      <c r="AI2" t="s">
        <v>103</v>
      </c>
      <c r="AJ2" t="s">
        <v>86</v>
      </c>
      <c r="AK2" t="s">
        <v>67</v>
      </c>
      <c r="AN2" t="s">
        <v>67</v>
      </c>
      <c r="AO2" t="s">
        <v>131</v>
      </c>
      <c r="AP2" t="s">
        <v>103</v>
      </c>
      <c r="AQ2" t="s">
        <v>86</v>
      </c>
      <c r="AR2" t="s">
        <v>66</v>
      </c>
      <c r="AU2" t="s">
        <v>135</v>
      </c>
      <c r="AV2" t="s">
        <v>86</v>
      </c>
      <c r="AW2" t="s">
        <v>102</v>
      </c>
      <c r="AZ2" t="s">
        <v>101</v>
      </c>
      <c r="BA2" t="s">
        <v>154</v>
      </c>
      <c r="BB2" t="s">
        <v>155</v>
      </c>
      <c r="BC2" t="s">
        <v>156</v>
      </c>
    </row>
    <row r="3" spans="2:70" x14ac:dyDescent="0.35">
      <c r="B3">
        <v>1</v>
      </c>
      <c r="C3" t="s">
        <v>381</v>
      </c>
      <c r="D3" t="s">
        <v>383</v>
      </c>
      <c r="E3" t="s">
        <v>326</v>
      </c>
      <c r="F3" s="11">
        <v>45598</v>
      </c>
      <c r="G3" t="s">
        <v>83</v>
      </c>
      <c r="H3" t="s">
        <v>60</v>
      </c>
      <c r="I3">
        <v>65</v>
      </c>
      <c r="J3" t="s">
        <v>59</v>
      </c>
      <c r="R3" s="42"/>
      <c r="S3" s="32"/>
      <c r="T3" s="30"/>
      <c r="U3" s="31"/>
      <c r="X3" s="11"/>
      <c r="AG3">
        <v>44</v>
      </c>
      <c r="AH3" s="11" t="s">
        <v>511</v>
      </c>
      <c r="AI3" s="20" t="s">
        <v>512</v>
      </c>
      <c r="AJ3">
        <v>1334</v>
      </c>
      <c r="AK3" t="s">
        <v>336</v>
      </c>
      <c r="AW3" s="11"/>
      <c r="AZ3">
        <v>44</v>
      </c>
      <c r="BA3">
        <v>1334</v>
      </c>
      <c r="BB3">
        <v>-300</v>
      </c>
      <c r="BC3">
        <v>1034</v>
      </c>
    </row>
    <row r="4" spans="2:70" x14ac:dyDescent="0.35">
      <c r="B4">
        <v>2</v>
      </c>
      <c r="C4" t="s">
        <v>358</v>
      </c>
      <c r="D4" t="s">
        <v>389</v>
      </c>
      <c r="E4" t="s">
        <v>326</v>
      </c>
      <c r="F4" s="11">
        <v>45598</v>
      </c>
      <c r="G4" t="s">
        <v>83</v>
      </c>
      <c r="H4" t="s">
        <v>80</v>
      </c>
      <c r="I4">
        <v>5</v>
      </c>
      <c r="J4" t="s">
        <v>59</v>
      </c>
      <c r="X4" s="11"/>
      <c r="AH4" s="11"/>
      <c r="AI4" s="20"/>
    </row>
    <row r="5" spans="2:70" x14ac:dyDescent="0.35">
      <c r="B5">
        <v>3</v>
      </c>
      <c r="C5" t="s">
        <v>390</v>
      </c>
      <c r="D5" t="s">
        <v>392</v>
      </c>
      <c r="E5" t="s">
        <v>326</v>
      </c>
      <c r="F5" s="11">
        <v>45598</v>
      </c>
      <c r="G5" t="s">
        <v>83</v>
      </c>
      <c r="H5" t="s">
        <v>80</v>
      </c>
      <c r="I5">
        <v>0</v>
      </c>
      <c r="J5" t="s">
        <v>384</v>
      </c>
      <c r="X5" s="11"/>
      <c r="AH5" s="11"/>
      <c r="AI5" s="20"/>
    </row>
    <row r="6" spans="2:70" x14ac:dyDescent="0.35">
      <c r="B6">
        <v>4</v>
      </c>
      <c r="C6" t="s">
        <v>398</v>
      </c>
      <c r="D6" t="s">
        <v>401</v>
      </c>
      <c r="E6" t="s">
        <v>326</v>
      </c>
      <c r="F6" s="11">
        <v>45599</v>
      </c>
      <c r="G6" t="s">
        <v>83</v>
      </c>
      <c r="H6" t="s">
        <v>80</v>
      </c>
      <c r="I6">
        <v>0</v>
      </c>
      <c r="J6" t="s">
        <v>59</v>
      </c>
      <c r="AH6" s="11"/>
      <c r="AI6" s="20"/>
    </row>
    <row r="7" spans="2:70" x14ac:dyDescent="0.35">
      <c r="B7">
        <v>5</v>
      </c>
      <c r="C7" t="s">
        <v>402</v>
      </c>
      <c r="D7" t="s">
        <v>408</v>
      </c>
      <c r="E7" t="s">
        <v>326</v>
      </c>
      <c r="F7" s="11">
        <v>45599</v>
      </c>
      <c r="G7" t="s">
        <v>83</v>
      </c>
      <c r="H7" t="s">
        <v>60</v>
      </c>
      <c r="I7">
        <v>234</v>
      </c>
      <c r="J7" t="s">
        <v>59</v>
      </c>
      <c r="AH7" s="11"/>
      <c r="AI7" s="20"/>
    </row>
    <row r="8" spans="2:70" x14ac:dyDescent="0.35">
      <c r="B8">
        <v>6</v>
      </c>
      <c r="C8" t="s">
        <v>374</v>
      </c>
      <c r="D8" t="s">
        <v>409</v>
      </c>
      <c r="E8" t="s">
        <v>326</v>
      </c>
      <c r="F8" s="11">
        <v>45599</v>
      </c>
      <c r="G8" t="s">
        <v>83</v>
      </c>
      <c r="H8" t="s">
        <v>60</v>
      </c>
      <c r="I8">
        <v>20</v>
      </c>
      <c r="J8" t="s">
        <v>59</v>
      </c>
      <c r="AH8" s="11"/>
      <c r="AI8" s="20"/>
      <c r="AK8" s="11"/>
    </row>
    <row r="9" spans="2:70" x14ac:dyDescent="0.35">
      <c r="B9">
        <v>7</v>
      </c>
      <c r="C9" t="s">
        <v>410</v>
      </c>
      <c r="D9" t="s">
        <v>413</v>
      </c>
      <c r="E9" t="s">
        <v>326</v>
      </c>
      <c r="F9" s="11">
        <v>45599</v>
      </c>
      <c r="G9" t="s">
        <v>83</v>
      </c>
      <c r="H9" t="s">
        <v>60</v>
      </c>
      <c r="I9">
        <v>140</v>
      </c>
      <c r="J9" t="s">
        <v>59</v>
      </c>
      <c r="AH9" s="11"/>
      <c r="AI9" s="20"/>
      <c r="AK9" s="11"/>
      <c r="BK9">
        <v>45460</v>
      </c>
      <c r="BL9" t="s">
        <v>116</v>
      </c>
      <c r="BM9" t="s">
        <v>35</v>
      </c>
      <c r="BN9">
        <v>370</v>
      </c>
      <c r="BO9">
        <v>370</v>
      </c>
      <c r="BP9" t="s">
        <v>59</v>
      </c>
      <c r="BQ9">
        <v>25</v>
      </c>
      <c r="BR9" t="s">
        <v>106</v>
      </c>
    </row>
    <row r="10" spans="2:70" x14ac:dyDescent="0.35">
      <c r="B10">
        <v>8</v>
      </c>
      <c r="C10" t="s">
        <v>414</v>
      </c>
      <c r="D10" t="s">
        <v>418</v>
      </c>
      <c r="E10" t="s">
        <v>326</v>
      </c>
      <c r="F10" s="11">
        <v>45599</v>
      </c>
      <c r="G10" t="s">
        <v>83</v>
      </c>
      <c r="H10" t="s">
        <v>60</v>
      </c>
      <c r="I10">
        <v>158</v>
      </c>
      <c r="J10" t="s">
        <v>59</v>
      </c>
      <c r="AH10" s="11"/>
      <c r="AI10" s="20"/>
      <c r="AK10" s="11"/>
      <c r="BK10">
        <v>45461</v>
      </c>
      <c r="BL10" t="s">
        <v>118</v>
      </c>
      <c r="BM10" t="s">
        <v>124</v>
      </c>
      <c r="BN10">
        <v>370</v>
      </c>
      <c r="BO10">
        <v>371</v>
      </c>
      <c r="BP10" t="s">
        <v>59</v>
      </c>
      <c r="BQ10">
        <v>25</v>
      </c>
      <c r="BR10" t="s">
        <v>106</v>
      </c>
    </row>
    <row r="11" spans="2:70" x14ac:dyDescent="0.35">
      <c r="B11">
        <v>9</v>
      </c>
      <c r="C11" t="s">
        <v>419</v>
      </c>
      <c r="D11" t="s">
        <v>423</v>
      </c>
      <c r="E11" t="s">
        <v>326</v>
      </c>
      <c r="F11" s="11">
        <v>45599</v>
      </c>
      <c r="G11" t="s">
        <v>83</v>
      </c>
      <c r="H11" t="s">
        <v>60</v>
      </c>
      <c r="I11">
        <v>88</v>
      </c>
      <c r="J11" t="s">
        <v>59</v>
      </c>
      <c r="AH11" s="11"/>
      <c r="AI11" s="20"/>
      <c r="BK11">
        <v>45462</v>
      </c>
      <c r="BL11" t="s">
        <v>119</v>
      </c>
      <c r="BM11" t="s">
        <v>125</v>
      </c>
      <c r="BN11">
        <v>370</v>
      </c>
      <c r="BO11">
        <v>372</v>
      </c>
      <c r="BP11" t="s">
        <v>59</v>
      </c>
      <c r="BQ11">
        <v>25</v>
      </c>
      <c r="BR11" t="s">
        <v>106</v>
      </c>
    </row>
    <row r="12" spans="2:70" x14ac:dyDescent="0.35">
      <c r="B12">
        <v>10</v>
      </c>
      <c r="C12" t="s">
        <v>424</v>
      </c>
      <c r="D12" t="s">
        <v>427</v>
      </c>
      <c r="E12" t="s">
        <v>326</v>
      </c>
      <c r="F12" s="11">
        <v>45599</v>
      </c>
      <c r="G12" t="s">
        <v>83</v>
      </c>
      <c r="H12" t="s">
        <v>80</v>
      </c>
      <c r="I12">
        <v>0</v>
      </c>
      <c r="J12" t="s">
        <v>59</v>
      </c>
      <c r="AH12" s="11"/>
      <c r="AI12" s="20"/>
      <c r="BK12">
        <v>45463</v>
      </c>
      <c r="BL12" t="s">
        <v>120</v>
      </c>
      <c r="BM12" t="s">
        <v>126</v>
      </c>
      <c r="BN12">
        <v>370</v>
      </c>
      <c r="BO12">
        <v>373</v>
      </c>
      <c r="BP12" t="s">
        <v>59</v>
      </c>
      <c r="BQ12">
        <v>25</v>
      </c>
      <c r="BR12" t="s">
        <v>106</v>
      </c>
    </row>
    <row r="13" spans="2:70" x14ac:dyDescent="0.35">
      <c r="B13">
        <v>11</v>
      </c>
      <c r="C13" t="s">
        <v>313</v>
      </c>
      <c r="D13" t="s">
        <v>434</v>
      </c>
      <c r="E13" t="s">
        <v>326</v>
      </c>
      <c r="F13" s="11">
        <v>45599</v>
      </c>
      <c r="G13" t="s">
        <v>83</v>
      </c>
      <c r="H13" t="s">
        <v>60</v>
      </c>
      <c r="I13">
        <v>179</v>
      </c>
      <c r="J13" t="s">
        <v>59</v>
      </c>
      <c r="BK13">
        <v>45464</v>
      </c>
      <c r="BL13" t="s">
        <v>121</v>
      </c>
      <c r="BM13" t="s">
        <v>127</v>
      </c>
      <c r="BN13">
        <v>370</v>
      </c>
      <c r="BO13">
        <v>374</v>
      </c>
      <c r="BP13" t="s">
        <v>59</v>
      </c>
      <c r="BQ13">
        <v>25</v>
      </c>
      <c r="BR13" t="s">
        <v>106</v>
      </c>
    </row>
    <row r="14" spans="2:70" x14ac:dyDescent="0.35">
      <c r="B14">
        <v>12</v>
      </c>
      <c r="C14" t="s">
        <v>435</v>
      </c>
      <c r="D14" t="s">
        <v>441</v>
      </c>
      <c r="E14" t="s">
        <v>326</v>
      </c>
      <c r="F14" s="11">
        <v>45599</v>
      </c>
      <c r="G14" t="s">
        <v>83</v>
      </c>
      <c r="H14" t="s">
        <v>60</v>
      </c>
      <c r="I14">
        <v>11</v>
      </c>
      <c r="J14" t="s">
        <v>59</v>
      </c>
      <c r="BK14">
        <v>45465</v>
      </c>
      <c r="BL14" t="s">
        <v>122</v>
      </c>
      <c r="BM14" t="s">
        <v>128</v>
      </c>
      <c r="BN14">
        <v>370</v>
      </c>
      <c r="BO14">
        <v>375</v>
      </c>
      <c r="BP14" t="s">
        <v>59</v>
      </c>
      <c r="BQ14">
        <v>25</v>
      </c>
      <c r="BR14" t="s">
        <v>106</v>
      </c>
    </row>
    <row r="15" spans="2:70" x14ac:dyDescent="0.35">
      <c r="B15">
        <v>13</v>
      </c>
      <c r="C15" t="s">
        <v>442</v>
      </c>
      <c r="D15" t="s">
        <v>444</v>
      </c>
      <c r="E15" t="s">
        <v>326</v>
      </c>
      <c r="F15" s="11">
        <v>45599</v>
      </c>
      <c r="G15" t="s">
        <v>83</v>
      </c>
      <c r="H15" t="s">
        <v>60</v>
      </c>
      <c r="I15">
        <v>140</v>
      </c>
      <c r="J15" t="s">
        <v>59</v>
      </c>
      <c r="BK15">
        <v>45466</v>
      </c>
      <c r="BL15" t="s">
        <v>123</v>
      </c>
      <c r="BM15" t="s">
        <v>129</v>
      </c>
      <c r="BN15">
        <v>370</v>
      </c>
      <c r="BO15">
        <v>376</v>
      </c>
      <c r="BP15" t="s">
        <v>59</v>
      </c>
      <c r="BQ15">
        <v>25</v>
      </c>
      <c r="BR15" t="s">
        <v>106</v>
      </c>
    </row>
    <row r="16" spans="2:70" x14ac:dyDescent="0.35">
      <c r="B16">
        <v>14</v>
      </c>
      <c r="C16" t="s">
        <v>360</v>
      </c>
      <c r="D16" t="s">
        <v>446</v>
      </c>
      <c r="E16" t="s">
        <v>326</v>
      </c>
      <c r="F16" s="11">
        <v>45599</v>
      </c>
      <c r="G16" t="s">
        <v>83</v>
      </c>
      <c r="H16" t="s">
        <v>80</v>
      </c>
      <c r="I16">
        <v>0</v>
      </c>
      <c r="J16" t="s">
        <v>59</v>
      </c>
    </row>
    <row r="17" spans="2:10" x14ac:dyDescent="0.35">
      <c r="B17">
        <v>15</v>
      </c>
      <c r="C17" t="s">
        <v>447</v>
      </c>
      <c r="D17" t="s">
        <v>453</v>
      </c>
      <c r="E17" t="s">
        <v>326</v>
      </c>
      <c r="F17" s="11">
        <v>45599</v>
      </c>
      <c r="G17" t="s">
        <v>83</v>
      </c>
      <c r="H17" t="s">
        <v>60</v>
      </c>
      <c r="I17">
        <v>171</v>
      </c>
      <c r="J17" t="s">
        <v>59</v>
      </c>
    </row>
    <row r="18" spans="2:10" x14ac:dyDescent="0.35">
      <c r="B18">
        <v>16</v>
      </c>
      <c r="C18" t="s">
        <v>454</v>
      </c>
      <c r="D18" t="s">
        <v>460</v>
      </c>
      <c r="E18" t="s">
        <v>326</v>
      </c>
      <c r="F18" s="11">
        <v>45599</v>
      </c>
      <c r="G18" t="s">
        <v>83</v>
      </c>
      <c r="H18" t="s">
        <v>80</v>
      </c>
      <c r="I18">
        <v>0</v>
      </c>
      <c r="J18" t="s">
        <v>59</v>
      </c>
    </row>
    <row r="19" spans="2:10" x14ac:dyDescent="0.35">
      <c r="B19">
        <v>17</v>
      </c>
      <c r="C19" t="s">
        <v>461</v>
      </c>
      <c r="D19" t="s">
        <v>463</v>
      </c>
      <c r="E19" t="s">
        <v>326</v>
      </c>
      <c r="F19" s="11">
        <v>45599</v>
      </c>
      <c r="G19" t="s">
        <v>83</v>
      </c>
      <c r="H19" t="s">
        <v>80</v>
      </c>
      <c r="I19">
        <v>0</v>
      </c>
      <c r="J19" t="s">
        <v>59</v>
      </c>
    </row>
    <row r="20" spans="2:10" x14ac:dyDescent="0.35">
      <c r="B20">
        <v>18</v>
      </c>
      <c r="C20" t="s">
        <v>464</v>
      </c>
      <c r="D20" t="s">
        <v>466</v>
      </c>
      <c r="E20" t="s">
        <v>326</v>
      </c>
      <c r="F20" s="11">
        <v>45599</v>
      </c>
      <c r="G20" t="s">
        <v>83</v>
      </c>
      <c r="H20" t="s">
        <v>80</v>
      </c>
      <c r="I20">
        <v>0</v>
      </c>
      <c r="J20" t="s">
        <v>59</v>
      </c>
    </row>
    <row r="21" spans="2:10" x14ac:dyDescent="0.35">
      <c r="B21">
        <v>19</v>
      </c>
      <c r="C21" t="s">
        <v>467</v>
      </c>
      <c r="D21" t="s">
        <v>469</v>
      </c>
      <c r="E21" t="s">
        <v>326</v>
      </c>
      <c r="F21" s="11">
        <v>45599</v>
      </c>
      <c r="G21" t="s">
        <v>83</v>
      </c>
      <c r="H21" t="s">
        <v>60</v>
      </c>
      <c r="I21">
        <v>31</v>
      </c>
      <c r="J21" t="s">
        <v>59</v>
      </c>
    </row>
    <row r="22" spans="2:10" x14ac:dyDescent="0.35">
      <c r="B22">
        <v>20</v>
      </c>
      <c r="C22" t="s">
        <v>470</v>
      </c>
      <c r="D22" t="s">
        <v>472</v>
      </c>
      <c r="E22" t="s">
        <v>326</v>
      </c>
      <c r="F22" s="11">
        <v>45599</v>
      </c>
      <c r="G22" t="s">
        <v>83</v>
      </c>
      <c r="H22" t="s">
        <v>60</v>
      </c>
      <c r="I22">
        <v>182</v>
      </c>
      <c r="J22" t="s">
        <v>59</v>
      </c>
    </row>
    <row r="23" spans="2:10" x14ac:dyDescent="0.35">
      <c r="B23">
        <v>21</v>
      </c>
      <c r="C23" t="s">
        <v>473</v>
      </c>
      <c r="D23" t="s">
        <v>475</v>
      </c>
      <c r="E23" t="s">
        <v>326</v>
      </c>
      <c r="F23" s="11">
        <v>45599</v>
      </c>
      <c r="G23" t="s">
        <v>83</v>
      </c>
      <c r="H23" t="s">
        <v>60</v>
      </c>
      <c r="I23">
        <v>55</v>
      </c>
      <c r="J23" t="s">
        <v>59</v>
      </c>
    </row>
    <row r="24" spans="2:10" x14ac:dyDescent="0.35">
      <c r="B24">
        <v>22</v>
      </c>
      <c r="C24" t="s">
        <v>476</v>
      </c>
      <c r="D24" t="s">
        <v>482</v>
      </c>
      <c r="E24" t="s">
        <v>326</v>
      </c>
      <c r="F24" s="11">
        <v>45599</v>
      </c>
      <c r="G24" t="s">
        <v>83</v>
      </c>
      <c r="H24" t="s">
        <v>80</v>
      </c>
      <c r="I24">
        <v>0</v>
      </c>
      <c r="J24" t="s">
        <v>59</v>
      </c>
    </row>
    <row r="25" spans="2:10" x14ac:dyDescent="0.35">
      <c r="B25">
        <v>23</v>
      </c>
      <c r="C25" t="s">
        <v>476</v>
      </c>
      <c r="D25" t="s">
        <v>484</v>
      </c>
      <c r="E25" t="s">
        <v>326</v>
      </c>
      <c r="F25" s="11">
        <v>45599</v>
      </c>
      <c r="G25" t="s">
        <v>83</v>
      </c>
      <c r="H25" t="s">
        <v>60</v>
      </c>
      <c r="I25">
        <v>100</v>
      </c>
      <c r="J25" t="s">
        <v>59</v>
      </c>
    </row>
    <row r="26" spans="2:10" x14ac:dyDescent="0.35">
      <c r="B26">
        <v>24</v>
      </c>
      <c r="C26" t="s">
        <v>485</v>
      </c>
      <c r="D26" t="s">
        <v>487</v>
      </c>
      <c r="E26" t="s">
        <v>326</v>
      </c>
      <c r="F26" s="11">
        <v>45599</v>
      </c>
      <c r="G26" t="s">
        <v>83</v>
      </c>
      <c r="H26" t="s">
        <v>60</v>
      </c>
      <c r="I26">
        <v>66</v>
      </c>
      <c r="J26" t="s">
        <v>59</v>
      </c>
    </row>
    <row r="27" spans="2:10" x14ac:dyDescent="0.35">
      <c r="B27">
        <v>25</v>
      </c>
      <c r="C27" t="s">
        <v>485</v>
      </c>
      <c r="D27" t="s">
        <v>488</v>
      </c>
      <c r="E27" t="s">
        <v>326</v>
      </c>
      <c r="F27" s="11">
        <v>45599</v>
      </c>
      <c r="G27" t="s">
        <v>83</v>
      </c>
      <c r="H27" t="s">
        <v>60</v>
      </c>
      <c r="I27">
        <v>110</v>
      </c>
      <c r="J27" t="s">
        <v>59</v>
      </c>
    </row>
    <row r="28" spans="2:10" x14ac:dyDescent="0.35">
      <c r="B28">
        <v>26</v>
      </c>
      <c r="C28" t="s">
        <v>489</v>
      </c>
      <c r="D28" t="s">
        <v>491</v>
      </c>
      <c r="E28" t="s">
        <v>326</v>
      </c>
      <c r="F28" s="11">
        <v>45599</v>
      </c>
      <c r="G28" t="s">
        <v>83</v>
      </c>
      <c r="H28" t="s">
        <v>80</v>
      </c>
      <c r="I28">
        <v>0</v>
      </c>
      <c r="J28" t="s">
        <v>59</v>
      </c>
    </row>
    <row r="29" spans="2:10" x14ac:dyDescent="0.35">
      <c r="B29">
        <v>27</v>
      </c>
      <c r="C29" t="s">
        <v>492</v>
      </c>
      <c r="D29" t="s">
        <v>494</v>
      </c>
      <c r="E29" t="s">
        <v>326</v>
      </c>
      <c r="F29" s="11">
        <v>45599</v>
      </c>
      <c r="G29" t="s">
        <v>83</v>
      </c>
      <c r="H29" t="s">
        <v>60</v>
      </c>
      <c r="I29">
        <v>54</v>
      </c>
      <c r="J29" t="s">
        <v>59</v>
      </c>
    </row>
    <row r="30" spans="2:10" x14ac:dyDescent="0.35">
      <c r="B30">
        <v>28</v>
      </c>
      <c r="C30" t="s">
        <v>435</v>
      </c>
      <c r="D30" t="s">
        <v>496</v>
      </c>
      <c r="E30" t="s">
        <v>326</v>
      </c>
      <c r="F30" s="11">
        <v>45599</v>
      </c>
      <c r="G30" t="s">
        <v>83</v>
      </c>
      <c r="H30" t="s">
        <v>60</v>
      </c>
      <c r="I30">
        <v>140</v>
      </c>
      <c r="J30" t="s">
        <v>59</v>
      </c>
    </row>
  </sheetData>
  <mergeCells count="6">
    <mergeCell ref="AZ1:BC1"/>
    <mergeCell ref="Q1:U1"/>
    <mergeCell ref="X1:AE1"/>
    <mergeCell ref="AG1:AK1"/>
    <mergeCell ref="AN1:AR1"/>
    <mergeCell ref="AU1:AW1"/>
  </mergeCells>
  <phoneticPr fontId="2" type="noConversion"/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6E29-441B-4A36-A69D-9408CDD27BE6}">
  <sheetPr codeName="Hoja7"/>
  <dimension ref="A1:CT53"/>
  <sheetViews>
    <sheetView topLeftCell="BZ1" workbookViewId="0">
      <selection activeCell="CD6" sqref="CD6"/>
    </sheetView>
  </sheetViews>
  <sheetFormatPr baseColWidth="10" defaultRowHeight="14.5" x14ac:dyDescent="0.35"/>
  <cols>
    <col min="6" max="6" width="15.453125" bestFit="1" customWidth="1"/>
    <col min="7" max="7" width="13.81640625" bestFit="1" customWidth="1"/>
    <col min="11" max="11" width="14" bestFit="1" customWidth="1"/>
    <col min="13" max="13" width="19.453125" bestFit="1" customWidth="1"/>
    <col min="15" max="15" width="14.453125" bestFit="1" customWidth="1"/>
    <col min="22" max="22" width="13.54296875" bestFit="1" customWidth="1"/>
    <col min="23" max="23" width="17.453125" bestFit="1" customWidth="1"/>
    <col min="29" max="29" width="19.453125" bestFit="1" customWidth="1"/>
    <col min="44" max="44" width="13.453125" customWidth="1"/>
    <col min="49" max="49" width="19.453125" bestFit="1" customWidth="1"/>
    <col min="57" max="57" width="12.81640625" customWidth="1"/>
    <col min="61" max="62" width="17.453125" bestFit="1" customWidth="1"/>
    <col min="63" max="63" width="13.81640625" bestFit="1" customWidth="1"/>
    <col min="68" max="69" width="17.453125" bestFit="1" customWidth="1"/>
    <col min="70" max="70" width="13.81640625" bestFit="1" customWidth="1"/>
    <col min="76" max="76" width="14.26953125" bestFit="1" customWidth="1"/>
    <col min="77" max="77" width="14.81640625" bestFit="1" customWidth="1"/>
    <col min="81" max="81" width="15.54296875" bestFit="1" customWidth="1"/>
    <col min="82" max="82" width="17.26953125" bestFit="1" customWidth="1"/>
    <col min="85" max="85" width="17.26953125" bestFit="1" customWidth="1"/>
    <col min="88" max="88" width="13" bestFit="1" customWidth="1"/>
    <col min="93" max="93" width="17.54296875" bestFit="1" customWidth="1"/>
    <col min="94" max="94" width="21.1796875" bestFit="1" customWidth="1"/>
    <col min="97" max="97" width="11.1796875" bestFit="1" customWidth="1"/>
  </cols>
  <sheetData>
    <row r="1" spans="1:98" x14ac:dyDescent="0.35">
      <c r="B1" s="52" t="s">
        <v>114</v>
      </c>
      <c r="C1" s="52"/>
      <c r="D1" s="52"/>
      <c r="E1" s="52"/>
      <c r="F1" s="52"/>
      <c r="G1" s="52"/>
      <c r="J1" s="52" t="s">
        <v>136</v>
      </c>
      <c r="K1" s="52"/>
      <c r="L1" s="52"/>
      <c r="M1" s="52"/>
      <c r="N1" s="52"/>
      <c r="O1" s="52"/>
      <c r="P1" s="52"/>
      <c r="Q1" s="52"/>
      <c r="T1" s="52" t="s">
        <v>146</v>
      </c>
      <c r="U1" s="52"/>
      <c r="V1" s="52"/>
      <c r="W1" s="52"/>
      <c r="X1" s="52"/>
      <c r="AA1" s="52" t="s">
        <v>151</v>
      </c>
      <c r="AB1" s="52"/>
      <c r="AC1" s="52"/>
      <c r="AD1" s="52"/>
      <c r="AE1" s="52"/>
      <c r="AH1" s="52" t="s">
        <v>157</v>
      </c>
      <c r="AI1" s="52"/>
      <c r="AJ1" s="52"/>
      <c r="AK1" s="52"/>
      <c r="AN1" s="86" t="s">
        <v>146</v>
      </c>
      <c r="AO1" s="86"/>
      <c r="AP1" s="86"/>
      <c r="AQ1" s="86"/>
      <c r="AR1" s="86"/>
      <c r="AU1" s="86" t="s">
        <v>151</v>
      </c>
      <c r="AV1" s="86"/>
      <c r="AW1" s="86"/>
      <c r="AX1" s="86"/>
      <c r="AY1" s="86"/>
      <c r="BB1" s="86" t="s">
        <v>157</v>
      </c>
      <c r="BC1" s="86"/>
      <c r="BD1" s="86"/>
      <c r="BE1" s="86"/>
      <c r="BH1" s="85" t="s">
        <v>166</v>
      </c>
      <c r="BI1" s="85"/>
      <c r="BJ1" s="85"/>
      <c r="BK1" s="85"/>
      <c r="BL1" s="85"/>
      <c r="BO1" s="85" t="s">
        <v>167</v>
      </c>
      <c r="BP1" s="85"/>
      <c r="BQ1" s="85"/>
      <c r="BR1" s="85"/>
      <c r="BS1" s="85"/>
      <c r="BV1" s="85" t="s">
        <v>168</v>
      </c>
      <c r="BW1" s="85"/>
      <c r="BX1" s="85"/>
      <c r="BY1" s="85"/>
      <c r="BZ1" s="85"/>
      <c r="CC1" s="84" t="s">
        <v>184</v>
      </c>
      <c r="CD1" s="84"/>
      <c r="CE1" s="84"/>
      <c r="CF1" s="84"/>
      <c r="CG1" s="84"/>
      <c r="CH1" s="84"/>
      <c r="CI1" s="84"/>
      <c r="CJ1" s="84"/>
      <c r="CK1" s="44"/>
      <c r="CN1" s="84" t="s">
        <v>301</v>
      </c>
      <c r="CO1" s="84"/>
      <c r="CP1" s="84"/>
      <c r="CQ1" s="84"/>
      <c r="CR1" s="84"/>
    </row>
    <row r="2" spans="1:98" x14ac:dyDescent="0.35">
      <c r="A2" s="11"/>
      <c r="B2" t="s">
        <v>47</v>
      </c>
      <c r="C2" t="s">
        <v>101</v>
      </c>
      <c r="D2" t="s">
        <v>108</v>
      </c>
      <c r="E2" t="s">
        <v>8</v>
      </c>
      <c r="F2" t="s">
        <v>109</v>
      </c>
      <c r="G2" t="s">
        <v>110</v>
      </c>
      <c r="H2" s="38" t="s">
        <v>67</v>
      </c>
      <c r="J2" t="s">
        <v>102</v>
      </c>
      <c r="K2" t="s">
        <v>97</v>
      </c>
      <c r="L2" t="s">
        <v>115</v>
      </c>
      <c r="M2" t="s">
        <v>103</v>
      </c>
      <c r="N2" t="s">
        <v>86</v>
      </c>
      <c r="O2" t="s">
        <v>88</v>
      </c>
      <c r="P2" t="s">
        <v>101</v>
      </c>
      <c r="Q2" t="s">
        <v>100</v>
      </c>
      <c r="T2" t="s">
        <v>101</v>
      </c>
      <c r="U2" t="s">
        <v>149</v>
      </c>
      <c r="V2" t="s">
        <v>150</v>
      </c>
      <c r="W2" t="s">
        <v>147</v>
      </c>
      <c r="X2" t="s">
        <v>148</v>
      </c>
      <c r="AA2" t="s">
        <v>101</v>
      </c>
      <c r="AB2" t="s">
        <v>117</v>
      </c>
      <c r="AC2" t="s">
        <v>103</v>
      </c>
      <c r="AD2" t="s">
        <v>86</v>
      </c>
      <c r="AE2" t="s">
        <v>67</v>
      </c>
      <c r="AH2" t="s">
        <v>101</v>
      </c>
      <c r="AI2" t="s">
        <v>154</v>
      </c>
      <c r="AJ2" t="s">
        <v>155</v>
      </c>
      <c r="AK2" t="s">
        <v>156</v>
      </c>
      <c r="AN2" t="s">
        <v>101</v>
      </c>
      <c r="AO2" t="s">
        <v>149</v>
      </c>
      <c r="AP2" t="s">
        <v>150</v>
      </c>
      <c r="AQ2" t="s">
        <v>147</v>
      </c>
      <c r="AR2" t="s">
        <v>148</v>
      </c>
      <c r="AU2" t="s">
        <v>101</v>
      </c>
      <c r="AV2" t="s">
        <v>117</v>
      </c>
      <c r="AW2" t="s">
        <v>103</v>
      </c>
      <c r="AX2" t="s">
        <v>86</v>
      </c>
      <c r="AY2" t="s">
        <v>67</v>
      </c>
      <c r="BB2" t="s">
        <v>101</v>
      </c>
      <c r="BC2" t="s">
        <v>154</v>
      </c>
      <c r="BD2" t="s">
        <v>155</v>
      </c>
      <c r="BE2" t="s">
        <v>156</v>
      </c>
      <c r="BH2" t="s">
        <v>67</v>
      </c>
      <c r="BI2" t="s">
        <v>131</v>
      </c>
      <c r="BJ2" t="s">
        <v>147</v>
      </c>
      <c r="BK2" t="s">
        <v>171</v>
      </c>
      <c r="BO2" t="s">
        <v>67</v>
      </c>
      <c r="BP2" t="s">
        <v>131</v>
      </c>
      <c r="BQ2" t="s">
        <v>147</v>
      </c>
      <c r="BR2" t="s">
        <v>171</v>
      </c>
      <c r="BV2" t="s">
        <v>67</v>
      </c>
      <c r="BW2" t="s">
        <v>131</v>
      </c>
      <c r="BX2" t="s">
        <v>169</v>
      </c>
      <c r="BY2" t="s">
        <v>170</v>
      </c>
      <c r="CC2" t="s">
        <v>93</v>
      </c>
      <c r="CD2" t="s">
        <v>178</v>
      </c>
      <c r="CE2" t="s">
        <v>179</v>
      </c>
      <c r="CF2" t="s">
        <v>180</v>
      </c>
      <c r="CG2" t="s">
        <v>183</v>
      </c>
      <c r="CH2" t="s">
        <v>181</v>
      </c>
      <c r="CI2" t="s">
        <v>182</v>
      </c>
      <c r="CJ2" t="s">
        <v>183</v>
      </c>
      <c r="CK2" t="s">
        <v>182</v>
      </c>
      <c r="CN2" t="s">
        <v>108</v>
      </c>
      <c r="CO2" t="s">
        <v>299</v>
      </c>
      <c r="CP2" t="s">
        <v>300</v>
      </c>
      <c r="CQ2" t="s">
        <v>47</v>
      </c>
      <c r="CR2" t="s">
        <v>67</v>
      </c>
      <c r="CT2" t="s">
        <v>303</v>
      </c>
    </row>
    <row r="3" spans="1:98" x14ac:dyDescent="0.35">
      <c r="B3" s="11">
        <v>45598</v>
      </c>
      <c r="C3">
        <v>44</v>
      </c>
      <c r="D3" t="s">
        <v>326</v>
      </c>
      <c r="E3" t="s">
        <v>372</v>
      </c>
      <c r="F3" s="34">
        <v>0.4972685185185185</v>
      </c>
      <c r="G3" s="34">
        <v>0.59594907407407405</v>
      </c>
      <c r="H3" t="s">
        <v>336</v>
      </c>
      <c r="J3" s="11">
        <v>45598</v>
      </c>
      <c r="K3" t="s">
        <v>394</v>
      </c>
      <c r="L3" t="s">
        <v>395</v>
      </c>
      <c r="M3" t="s">
        <v>396</v>
      </c>
      <c r="N3">
        <v>171</v>
      </c>
      <c r="O3" t="s">
        <v>397</v>
      </c>
      <c r="P3">
        <v>44</v>
      </c>
      <c r="Q3" t="s">
        <v>336</v>
      </c>
      <c r="AN3">
        <v>44</v>
      </c>
      <c r="AO3" s="11" t="s">
        <v>510</v>
      </c>
      <c r="AP3" t="s">
        <v>508</v>
      </c>
      <c r="AQ3" t="s">
        <v>509</v>
      </c>
      <c r="AR3">
        <v>-300</v>
      </c>
      <c r="AU3">
        <v>44</v>
      </c>
      <c r="AV3" s="11" t="s">
        <v>511</v>
      </c>
      <c r="AW3" s="20" t="s">
        <v>512</v>
      </c>
      <c r="AX3">
        <v>1334</v>
      </c>
      <c r="AY3" t="s">
        <v>336</v>
      </c>
      <c r="BB3">
        <v>44</v>
      </c>
      <c r="BC3">
        <v>1334</v>
      </c>
      <c r="BD3">
        <v>-300</v>
      </c>
      <c r="BE3">
        <v>1034</v>
      </c>
      <c r="BH3" t="s">
        <v>336</v>
      </c>
      <c r="BI3">
        <v>44</v>
      </c>
      <c r="BJ3">
        <v>-300</v>
      </c>
      <c r="BK3">
        <v>-300</v>
      </c>
      <c r="BO3" t="s">
        <v>336</v>
      </c>
      <c r="BP3">
        <v>44</v>
      </c>
      <c r="BQ3">
        <v>1334</v>
      </c>
      <c r="BR3">
        <v>1334</v>
      </c>
      <c r="BV3" t="s">
        <v>336</v>
      </c>
      <c r="BW3">
        <v>44</v>
      </c>
      <c r="BX3">
        <v>1034</v>
      </c>
      <c r="BY3">
        <v>1034</v>
      </c>
      <c r="CC3" t="s">
        <v>373</v>
      </c>
      <c r="CD3" s="11">
        <v>45333</v>
      </c>
      <c r="CE3" t="s">
        <v>326</v>
      </c>
      <c r="CF3" t="s">
        <v>189</v>
      </c>
      <c r="CG3" s="34">
        <v>0.52542824074074079</v>
      </c>
      <c r="CH3" s="11">
        <v>45333</v>
      </c>
      <c r="CI3" t="s">
        <v>189</v>
      </c>
      <c r="CJ3" s="34">
        <v>0.52542824074074079</v>
      </c>
      <c r="CK3" t="s">
        <v>326</v>
      </c>
      <c r="CN3" t="s">
        <v>189</v>
      </c>
      <c r="CO3" t="s">
        <v>305</v>
      </c>
      <c r="CP3" t="s">
        <v>306</v>
      </c>
      <c r="CQ3" t="s">
        <v>189</v>
      </c>
      <c r="CR3" t="s">
        <v>304</v>
      </c>
      <c r="CT3" t="s">
        <v>336</v>
      </c>
    </row>
    <row r="4" spans="1:98" x14ac:dyDescent="0.35">
      <c r="B4" s="11">
        <v>45598</v>
      </c>
      <c r="C4">
        <v>44</v>
      </c>
      <c r="D4" t="s">
        <v>326</v>
      </c>
      <c r="E4" t="s">
        <v>368</v>
      </c>
      <c r="F4" s="34">
        <v>0.59781249999999997</v>
      </c>
      <c r="G4" s="34">
        <v>0.59870370370370374</v>
      </c>
      <c r="H4" t="s">
        <v>336</v>
      </c>
      <c r="J4" s="11">
        <v>45599</v>
      </c>
      <c r="K4" t="s">
        <v>503</v>
      </c>
      <c r="L4" t="s">
        <v>504</v>
      </c>
      <c r="M4" t="s">
        <v>505</v>
      </c>
      <c r="N4">
        <v>1163</v>
      </c>
      <c r="O4" t="s">
        <v>506</v>
      </c>
      <c r="P4">
        <v>44</v>
      </c>
      <c r="Q4" t="s">
        <v>336</v>
      </c>
      <c r="AO4" s="11"/>
      <c r="AV4" s="11"/>
      <c r="AW4" s="20"/>
      <c r="AY4" s="11"/>
      <c r="CC4" t="s">
        <v>380</v>
      </c>
      <c r="CD4" s="11">
        <v>45333</v>
      </c>
      <c r="CE4" t="s">
        <v>326</v>
      </c>
      <c r="CF4" t="s">
        <v>189</v>
      </c>
      <c r="CG4" s="34">
        <v>0.52929398148148143</v>
      </c>
      <c r="CH4" s="11">
        <v>45333</v>
      </c>
      <c r="CI4" t="s">
        <v>189</v>
      </c>
      <c r="CJ4" s="34">
        <v>0.52929398148148143</v>
      </c>
      <c r="CK4" t="s">
        <v>326</v>
      </c>
      <c r="CN4" t="s">
        <v>326</v>
      </c>
      <c r="CO4">
        <v>2152</v>
      </c>
      <c r="CP4">
        <v>2323</v>
      </c>
      <c r="CQ4" s="11">
        <v>45598</v>
      </c>
      <c r="CR4" t="s">
        <v>336</v>
      </c>
    </row>
    <row r="5" spans="1:98" x14ac:dyDescent="0.35">
      <c r="B5" s="11">
        <v>45599</v>
      </c>
      <c r="C5">
        <v>44</v>
      </c>
      <c r="D5" t="s">
        <v>326</v>
      </c>
      <c r="E5" t="s">
        <v>372</v>
      </c>
      <c r="F5" s="34">
        <v>0.46092592592592591</v>
      </c>
      <c r="G5" s="34">
        <v>0.63261574074074078</v>
      </c>
      <c r="H5" t="s">
        <v>336</v>
      </c>
      <c r="J5" s="11"/>
      <c r="AO5" s="11"/>
      <c r="AV5" s="11"/>
      <c r="AW5" s="20"/>
      <c r="AY5" s="11"/>
      <c r="CC5" t="s">
        <v>383</v>
      </c>
      <c r="CD5" s="11">
        <v>45333</v>
      </c>
      <c r="CE5" t="s">
        <v>326</v>
      </c>
      <c r="CF5" t="s">
        <v>393</v>
      </c>
      <c r="CG5" s="34">
        <v>0.59135416666666663</v>
      </c>
      <c r="CH5" s="11">
        <v>45362</v>
      </c>
      <c r="CI5" t="s">
        <v>189</v>
      </c>
      <c r="CJ5" s="34">
        <v>0.63013888888888892</v>
      </c>
      <c r="CK5" t="s">
        <v>326</v>
      </c>
      <c r="CN5" t="s">
        <v>326</v>
      </c>
      <c r="CO5">
        <v>2504</v>
      </c>
      <c r="CP5">
        <v>2323</v>
      </c>
      <c r="CQ5" s="11">
        <v>45598</v>
      </c>
      <c r="CR5" t="s">
        <v>336</v>
      </c>
    </row>
    <row r="6" spans="1:98" x14ac:dyDescent="0.35">
      <c r="B6" s="11">
        <v>45599</v>
      </c>
      <c r="C6">
        <v>44</v>
      </c>
      <c r="D6" t="s">
        <v>326</v>
      </c>
      <c r="E6" t="s">
        <v>368</v>
      </c>
      <c r="F6" s="34">
        <v>0.6594444444444445</v>
      </c>
      <c r="G6" s="34"/>
      <c r="H6" t="s">
        <v>336</v>
      </c>
      <c r="J6" s="11"/>
      <c r="AO6" s="11"/>
      <c r="AV6" s="11"/>
      <c r="AW6" s="20"/>
      <c r="AY6" s="11"/>
      <c r="CC6" t="s">
        <v>408</v>
      </c>
      <c r="CD6" s="11">
        <v>45362</v>
      </c>
      <c r="CE6" t="s">
        <v>326</v>
      </c>
      <c r="CF6" t="s">
        <v>189</v>
      </c>
      <c r="CG6" s="34">
        <v>0.62280092592592595</v>
      </c>
      <c r="CH6" s="11">
        <v>45362</v>
      </c>
      <c r="CI6" t="s">
        <v>189</v>
      </c>
      <c r="CJ6" s="34">
        <v>0.62280092592592595</v>
      </c>
      <c r="CK6" t="s">
        <v>326</v>
      </c>
      <c r="CN6" t="s">
        <v>326</v>
      </c>
      <c r="CO6">
        <v>2499</v>
      </c>
      <c r="CP6">
        <v>3662</v>
      </c>
      <c r="CQ6" s="11">
        <v>45599</v>
      </c>
      <c r="CR6" t="s">
        <v>336</v>
      </c>
    </row>
    <row r="7" spans="1:98" x14ac:dyDescent="0.35">
      <c r="B7" s="11"/>
      <c r="F7" s="34"/>
      <c r="G7" s="34"/>
      <c r="J7" s="11"/>
      <c r="AV7" s="11"/>
      <c r="AW7" s="20"/>
      <c r="AY7" s="11"/>
      <c r="CC7" t="s">
        <v>409</v>
      </c>
      <c r="CD7" s="11">
        <v>45362</v>
      </c>
      <c r="CE7" t="s">
        <v>326</v>
      </c>
      <c r="CF7" t="s">
        <v>189</v>
      </c>
      <c r="CG7" s="34">
        <v>0.6232523148148148</v>
      </c>
      <c r="CH7" s="11">
        <v>45362</v>
      </c>
      <c r="CI7" t="s">
        <v>189</v>
      </c>
      <c r="CJ7" s="34">
        <v>0.6232523148148148</v>
      </c>
      <c r="CK7" t="s">
        <v>326</v>
      </c>
      <c r="CN7" t="s">
        <v>326</v>
      </c>
      <c r="CO7">
        <v>2565</v>
      </c>
      <c r="CP7">
        <v>2565</v>
      </c>
      <c r="CQ7" s="11">
        <v>45599</v>
      </c>
      <c r="CR7" t="s">
        <v>336</v>
      </c>
    </row>
    <row r="8" spans="1:98" x14ac:dyDescent="0.35">
      <c r="B8" s="11"/>
      <c r="F8" s="34"/>
      <c r="G8" s="34"/>
      <c r="J8" s="11"/>
      <c r="AV8" s="11"/>
      <c r="AW8" s="20"/>
      <c r="AY8" s="11"/>
      <c r="CC8" t="s">
        <v>413</v>
      </c>
      <c r="CD8" s="11">
        <v>45362</v>
      </c>
      <c r="CE8" t="s">
        <v>326</v>
      </c>
      <c r="CF8" t="s">
        <v>189</v>
      </c>
      <c r="CG8" s="34">
        <v>0.62378472222222225</v>
      </c>
      <c r="CH8" s="11">
        <v>45362</v>
      </c>
      <c r="CI8" t="s">
        <v>189</v>
      </c>
      <c r="CJ8" s="34">
        <v>0.62378472222222225</v>
      </c>
      <c r="CK8" t="s">
        <v>326</v>
      </c>
      <c r="CP8">
        <v>2565</v>
      </c>
      <c r="CQ8" s="11"/>
    </row>
    <row r="9" spans="1:98" x14ac:dyDescent="0.35">
      <c r="B9" s="11"/>
      <c r="F9" s="34"/>
      <c r="G9" s="34"/>
      <c r="J9" s="11"/>
      <c r="AV9" s="11"/>
      <c r="AW9" s="20"/>
      <c r="CC9" t="s">
        <v>418</v>
      </c>
      <c r="CD9" s="11">
        <v>45362</v>
      </c>
      <c r="CE9" t="s">
        <v>326</v>
      </c>
      <c r="CF9" t="s">
        <v>189</v>
      </c>
      <c r="CG9" s="34">
        <v>0.62400462962962966</v>
      </c>
      <c r="CH9" s="11">
        <v>45362</v>
      </c>
      <c r="CI9" t="s">
        <v>189</v>
      </c>
      <c r="CJ9" s="34">
        <v>0.62400462962962966</v>
      </c>
      <c r="CK9" t="s">
        <v>326</v>
      </c>
      <c r="CQ9" s="11"/>
    </row>
    <row r="10" spans="1:98" x14ac:dyDescent="0.35">
      <c r="B10" s="11"/>
      <c r="F10" s="34"/>
      <c r="G10" s="34"/>
      <c r="J10" s="11"/>
      <c r="AV10" s="11"/>
      <c r="AW10" s="20"/>
      <c r="CC10" t="s">
        <v>423</v>
      </c>
      <c r="CD10" s="11">
        <v>45362</v>
      </c>
      <c r="CE10" t="s">
        <v>326</v>
      </c>
      <c r="CF10" t="s">
        <v>189</v>
      </c>
      <c r="CG10" s="34">
        <v>0.62417824074074069</v>
      </c>
      <c r="CH10" s="11">
        <v>45362</v>
      </c>
      <c r="CI10" t="s">
        <v>189</v>
      </c>
      <c r="CJ10" s="34">
        <v>0.62417824074074069</v>
      </c>
      <c r="CK10" t="s">
        <v>326</v>
      </c>
      <c r="CQ10" s="11"/>
    </row>
    <row r="11" spans="1:98" x14ac:dyDescent="0.35">
      <c r="B11" s="11"/>
      <c r="F11" s="34"/>
      <c r="G11" s="34"/>
      <c r="J11" s="11"/>
      <c r="AV11" s="11"/>
      <c r="AW11" s="20"/>
      <c r="CC11" t="s">
        <v>427</v>
      </c>
      <c r="CD11" s="11">
        <v>45362</v>
      </c>
      <c r="CE11" t="s">
        <v>326</v>
      </c>
      <c r="CF11" t="s">
        <v>189</v>
      </c>
      <c r="CG11" s="34">
        <v>0.62435185185185182</v>
      </c>
      <c r="CH11" s="11">
        <v>45362</v>
      </c>
      <c r="CI11" t="s">
        <v>189</v>
      </c>
      <c r="CJ11" s="34">
        <v>0.62435185185185182</v>
      </c>
      <c r="CK11" t="s">
        <v>326</v>
      </c>
      <c r="CQ11" s="11"/>
    </row>
    <row r="12" spans="1:98" x14ac:dyDescent="0.35">
      <c r="B12" s="11"/>
      <c r="F12" s="34"/>
      <c r="G12" s="34"/>
      <c r="J12" s="11"/>
      <c r="AV12" s="11"/>
      <c r="AW12" s="20"/>
      <c r="CC12" t="s">
        <v>434</v>
      </c>
      <c r="CD12" s="11">
        <v>45362</v>
      </c>
      <c r="CE12" t="s">
        <v>326</v>
      </c>
      <c r="CF12" t="s">
        <v>189</v>
      </c>
      <c r="CG12" s="34">
        <v>0.62464120370370368</v>
      </c>
      <c r="CH12" s="11">
        <v>45362</v>
      </c>
      <c r="CI12" t="s">
        <v>189</v>
      </c>
      <c r="CJ12" s="34">
        <v>0.62464120370370368</v>
      </c>
      <c r="CK12" t="s">
        <v>326</v>
      </c>
      <c r="CQ12" s="11"/>
    </row>
    <row r="13" spans="1:98" x14ac:dyDescent="0.35">
      <c r="B13" s="11"/>
      <c r="F13" s="34"/>
      <c r="G13" s="34"/>
      <c r="J13" s="11"/>
      <c r="AV13" s="11"/>
      <c r="AW13" s="20"/>
      <c r="AY13" s="11"/>
      <c r="CC13" t="s">
        <v>441</v>
      </c>
      <c r="CD13" s="11">
        <v>45362</v>
      </c>
      <c r="CE13" t="s">
        <v>326</v>
      </c>
      <c r="CF13" t="s">
        <v>189</v>
      </c>
      <c r="CG13" s="34">
        <v>0.62479166666666663</v>
      </c>
      <c r="CH13" s="11">
        <v>45362</v>
      </c>
      <c r="CI13" t="s">
        <v>189</v>
      </c>
      <c r="CJ13" s="34">
        <v>0.62479166666666663</v>
      </c>
      <c r="CK13" t="s">
        <v>326</v>
      </c>
      <c r="CQ13" s="11"/>
    </row>
    <row r="14" spans="1:98" x14ac:dyDescent="0.35">
      <c r="B14" s="11"/>
      <c r="F14" s="34"/>
      <c r="G14" s="34"/>
      <c r="J14" s="11"/>
      <c r="AV14" s="11"/>
      <c r="AW14" s="20"/>
      <c r="AY14" s="11"/>
      <c r="CC14" t="s">
        <v>444</v>
      </c>
      <c r="CD14" s="11">
        <v>45362</v>
      </c>
      <c r="CE14" t="s">
        <v>326</v>
      </c>
      <c r="CF14" t="s">
        <v>189</v>
      </c>
      <c r="CG14" s="34">
        <v>0.62495370370370373</v>
      </c>
      <c r="CH14" s="11">
        <v>45362</v>
      </c>
      <c r="CI14" t="s">
        <v>189</v>
      </c>
      <c r="CJ14" s="34">
        <v>0.62495370370370373</v>
      </c>
      <c r="CK14" t="s">
        <v>326</v>
      </c>
      <c r="CQ14" s="11"/>
    </row>
    <row r="15" spans="1:98" x14ac:dyDescent="0.35">
      <c r="B15" s="11"/>
      <c r="F15" s="34"/>
      <c r="G15" s="34"/>
      <c r="AO15" s="11"/>
      <c r="AV15" s="11"/>
      <c r="AW15" s="20"/>
      <c r="AY15" s="11"/>
      <c r="CC15" t="s">
        <v>446</v>
      </c>
      <c r="CD15" s="11">
        <v>45362</v>
      </c>
      <c r="CE15" t="s">
        <v>326</v>
      </c>
      <c r="CF15" t="s">
        <v>189</v>
      </c>
      <c r="CG15" s="34">
        <v>0.62512731481481476</v>
      </c>
      <c r="CH15" s="11">
        <v>45362</v>
      </c>
      <c r="CI15" t="s">
        <v>189</v>
      </c>
      <c r="CJ15" s="34">
        <v>0.62512731481481476</v>
      </c>
      <c r="CK15" t="s">
        <v>326</v>
      </c>
    </row>
    <row r="16" spans="1:98" x14ac:dyDescent="0.35">
      <c r="B16" s="11"/>
      <c r="F16" s="34"/>
      <c r="G16" s="34"/>
      <c r="CC16" t="s">
        <v>453</v>
      </c>
      <c r="CD16" s="11">
        <v>45362</v>
      </c>
      <c r="CE16" t="s">
        <v>326</v>
      </c>
      <c r="CF16" t="s">
        <v>189</v>
      </c>
      <c r="CG16" s="34">
        <v>0.62531250000000005</v>
      </c>
      <c r="CH16" s="11">
        <v>45362</v>
      </c>
      <c r="CI16" t="s">
        <v>189</v>
      </c>
      <c r="CJ16" s="34">
        <v>0.62531250000000005</v>
      </c>
      <c r="CK16" t="s">
        <v>326</v>
      </c>
    </row>
    <row r="17" spans="2:89" x14ac:dyDescent="0.35">
      <c r="B17" s="11"/>
      <c r="F17" s="34"/>
      <c r="G17" s="34"/>
      <c r="H17" s="37"/>
      <c r="CC17" t="s">
        <v>460</v>
      </c>
      <c r="CD17" s="11">
        <v>45362</v>
      </c>
      <c r="CE17" t="s">
        <v>326</v>
      </c>
      <c r="CF17" t="s">
        <v>189</v>
      </c>
      <c r="CG17" s="34">
        <v>0.62547453703703704</v>
      </c>
      <c r="CH17" s="11">
        <v>45362</v>
      </c>
      <c r="CI17" t="s">
        <v>189</v>
      </c>
      <c r="CJ17" s="34">
        <v>0.62547453703703704</v>
      </c>
      <c r="CK17" t="s">
        <v>326</v>
      </c>
    </row>
    <row r="18" spans="2:89" x14ac:dyDescent="0.35">
      <c r="B18" s="11"/>
      <c r="F18" s="34"/>
      <c r="G18" s="34"/>
      <c r="H18" s="36"/>
      <c r="CC18" t="s">
        <v>463</v>
      </c>
      <c r="CD18" s="11">
        <v>45362</v>
      </c>
      <c r="CE18" t="s">
        <v>326</v>
      </c>
      <c r="CF18" t="s">
        <v>189</v>
      </c>
      <c r="CG18" s="34">
        <v>0.6256018518518518</v>
      </c>
      <c r="CH18" s="11">
        <v>45362</v>
      </c>
      <c r="CI18" t="s">
        <v>189</v>
      </c>
      <c r="CJ18" s="34">
        <v>0.6256018518518518</v>
      </c>
      <c r="CK18" t="s">
        <v>326</v>
      </c>
    </row>
    <row r="19" spans="2:89" x14ac:dyDescent="0.35">
      <c r="B19" s="11"/>
      <c r="F19" s="34"/>
      <c r="G19" s="34"/>
      <c r="H19" s="39"/>
      <c r="CC19" t="s">
        <v>466</v>
      </c>
      <c r="CD19" s="11">
        <v>45362</v>
      </c>
      <c r="CE19" t="s">
        <v>326</v>
      </c>
      <c r="CF19" t="s">
        <v>189</v>
      </c>
      <c r="CG19" s="34">
        <v>0.62578703703703709</v>
      </c>
      <c r="CH19" s="11">
        <v>45362</v>
      </c>
      <c r="CI19" t="s">
        <v>189</v>
      </c>
      <c r="CJ19" s="34">
        <v>0.62578703703703709</v>
      </c>
      <c r="CK19" t="s">
        <v>326</v>
      </c>
    </row>
    <row r="20" spans="2:89" x14ac:dyDescent="0.35">
      <c r="B20" s="11"/>
      <c r="F20" s="34"/>
      <c r="G20" s="34"/>
      <c r="CC20" t="s">
        <v>469</v>
      </c>
      <c r="CD20" s="11">
        <v>45362</v>
      </c>
      <c r="CE20" t="s">
        <v>326</v>
      </c>
      <c r="CF20" t="s">
        <v>189</v>
      </c>
      <c r="CG20" s="34">
        <v>0.62592592592592589</v>
      </c>
      <c r="CH20" s="11">
        <v>45362</v>
      </c>
      <c r="CI20" t="s">
        <v>189</v>
      </c>
      <c r="CJ20" s="34">
        <v>0.62592592592592589</v>
      </c>
      <c r="CK20" t="s">
        <v>326</v>
      </c>
    </row>
    <row r="21" spans="2:89" x14ac:dyDescent="0.35">
      <c r="B21" s="11"/>
      <c r="F21" s="34"/>
      <c r="G21" s="34"/>
      <c r="CC21" t="s">
        <v>472</v>
      </c>
      <c r="CD21" s="11">
        <v>45362</v>
      </c>
      <c r="CE21" t="s">
        <v>326</v>
      </c>
      <c r="CF21" t="s">
        <v>189</v>
      </c>
      <c r="CG21" s="34">
        <v>0.6260648148148148</v>
      </c>
      <c r="CH21" s="11">
        <v>45362</v>
      </c>
      <c r="CI21" t="s">
        <v>189</v>
      </c>
      <c r="CJ21" s="34">
        <v>0.6260648148148148</v>
      </c>
      <c r="CK21" t="s">
        <v>326</v>
      </c>
    </row>
    <row r="22" spans="2:89" x14ac:dyDescent="0.35">
      <c r="B22" s="11"/>
      <c r="F22" s="34"/>
      <c r="G22" s="34"/>
      <c r="CC22" t="s">
        <v>475</v>
      </c>
      <c r="CD22" s="11">
        <v>45362</v>
      </c>
      <c r="CE22" t="s">
        <v>326</v>
      </c>
      <c r="CF22" t="s">
        <v>189</v>
      </c>
      <c r="CG22" s="34">
        <v>0.62620370370370371</v>
      </c>
      <c r="CH22" s="11">
        <v>45362</v>
      </c>
      <c r="CI22" t="s">
        <v>189</v>
      </c>
      <c r="CJ22" s="34">
        <v>0.62620370370370371</v>
      </c>
      <c r="CK22" t="s">
        <v>326</v>
      </c>
    </row>
    <row r="23" spans="2:89" x14ac:dyDescent="0.35">
      <c r="B23" s="11"/>
      <c r="F23" s="34"/>
      <c r="G23" s="34"/>
      <c r="CC23" t="s">
        <v>482</v>
      </c>
      <c r="CD23" s="11">
        <v>45362</v>
      </c>
      <c r="CE23" t="s">
        <v>326</v>
      </c>
      <c r="CF23" t="s">
        <v>189</v>
      </c>
      <c r="CG23" s="34">
        <v>0.62634259259259262</v>
      </c>
      <c r="CH23" s="11">
        <v>45362</v>
      </c>
      <c r="CI23" t="s">
        <v>189</v>
      </c>
      <c r="CJ23" s="34">
        <v>0.62634259259259262</v>
      </c>
      <c r="CK23" t="s">
        <v>326</v>
      </c>
    </row>
    <row r="24" spans="2:89" x14ac:dyDescent="0.35">
      <c r="B24" s="11"/>
      <c r="F24" s="34"/>
      <c r="G24" s="34"/>
      <c r="CC24" t="s">
        <v>484</v>
      </c>
      <c r="CD24" s="11">
        <v>45362</v>
      </c>
      <c r="CE24" t="s">
        <v>326</v>
      </c>
      <c r="CF24" t="s">
        <v>189</v>
      </c>
      <c r="CG24" s="34">
        <v>0.62648148148148153</v>
      </c>
      <c r="CH24" s="11">
        <v>45362</v>
      </c>
      <c r="CI24" t="s">
        <v>189</v>
      </c>
      <c r="CJ24" s="34">
        <v>0.62648148148148153</v>
      </c>
      <c r="CK24" t="s">
        <v>326</v>
      </c>
    </row>
    <row r="25" spans="2:89" x14ac:dyDescent="0.35">
      <c r="B25" s="11"/>
      <c r="F25" s="34"/>
      <c r="G25" s="34"/>
      <c r="CC25" t="s">
        <v>487</v>
      </c>
      <c r="CD25" s="11">
        <v>45362</v>
      </c>
      <c r="CE25" t="s">
        <v>326</v>
      </c>
      <c r="CF25" t="s">
        <v>189</v>
      </c>
      <c r="CG25" s="34">
        <v>0.62663194444444448</v>
      </c>
      <c r="CH25" s="11">
        <v>45362</v>
      </c>
      <c r="CI25" t="s">
        <v>189</v>
      </c>
      <c r="CJ25" s="34">
        <v>0.62663194444444448</v>
      </c>
      <c r="CK25" t="s">
        <v>326</v>
      </c>
    </row>
    <row r="26" spans="2:89" x14ac:dyDescent="0.35">
      <c r="B26" s="11"/>
      <c r="F26" s="34"/>
      <c r="G26" s="34"/>
      <c r="CC26" t="s">
        <v>488</v>
      </c>
      <c r="CD26" s="11">
        <v>45362</v>
      </c>
      <c r="CE26" t="s">
        <v>326</v>
      </c>
      <c r="CF26" t="s">
        <v>189</v>
      </c>
      <c r="CG26" s="34">
        <v>0.62675925925925924</v>
      </c>
      <c r="CH26" s="11">
        <v>45362</v>
      </c>
      <c r="CI26" t="s">
        <v>189</v>
      </c>
      <c r="CJ26" s="34">
        <v>0.62675925925925924</v>
      </c>
      <c r="CK26" t="s">
        <v>326</v>
      </c>
    </row>
    <row r="27" spans="2:89" x14ac:dyDescent="0.35">
      <c r="B27" s="11"/>
      <c r="F27" s="34"/>
      <c r="G27" s="34"/>
      <c r="CC27" t="s">
        <v>491</v>
      </c>
      <c r="CD27" s="11">
        <v>45362</v>
      </c>
      <c r="CE27" t="s">
        <v>326</v>
      </c>
      <c r="CF27" t="s">
        <v>189</v>
      </c>
      <c r="CG27" s="34">
        <v>0.62689814814814815</v>
      </c>
      <c r="CH27" s="11">
        <v>45362</v>
      </c>
      <c r="CI27" t="s">
        <v>189</v>
      </c>
      <c r="CJ27" s="34">
        <v>0.62689814814814815</v>
      </c>
      <c r="CK27" t="s">
        <v>326</v>
      </c>
    </row>
    <row r="28" spans="2:89" x14ac:dyDescent="0.35">
      <c r="B28" s="11"/>
      <c r="F28" s="34"/>
      <c r="G28" s="34"/>
      <c r="CC28" t="s">
        <v>494</v>
      </c>
      <c r="CD28" s="11">
        <v>45362</v>
      </c>
      <c r="CE28" t="s">
        <v>326</v>
      </c>
      <c r="CF28" t="s">
        <v>189</v>
      </c>
      <c r="CG28" s="34">
        <v>0.62702546296296291</v>
      </c>
      <c r="CH28" s="11">
        <v>45362</v>
      </c>
      <c r="CI28" t="s">
        <v>189</v>
      </c>
      <c r="CJ28" s="34">
        <v>0.62702546296296291</v>
      </c>
      <c r="CK28" t="s">
        <v>326</v>
      </c>
    </row>
    <row r="29" spans="2:89" x14ac:dyDescent="0.35">
      <c r="B29" s="11"/>
      <c r="F29" s="34"/>
      <c r="G29" s="34"/>
      <c r="CC29" t="s">
        <v>496</v>
      </c>
      <c r="CD29" s="11">
        <v>45362</v>
      </c>
      <c r="CE29" t="s">
        <v>326</v>
      </c>
      <c r="CF29" t="s">
        <v>189</v>
      </c>
      <c r="CG29" s="34">
        <v>0.62716435185185182</v>
      </c>
      <c r="CH29" s="11">
        <v>45362</v>
      </c>
      <c r="CI29" t="s">
        <v>189</v>
      </c>
      <c r="CJ29" s="34">
        <v>0.62716435185185182</v>
      </c>
      <c r="CK29" t="s">
        <v>326</v>
      </c>
    </row>
    <row r="30" spans="2:89" x14ac:dyDescent="0.35">
      <c r="B30" s="11"/>
      <c r="F30" s="34"/>
      <c r="G30" s="34"/>
      <c r="CC30" t="s">
        <v>501</v>
      </c>
      <c r="CD30" s="11">
        <v>45362</v>
      </c>
      <c r="CE30" t="s">
        <v>326</v>
      </c>
      <c r="CF30" t="s">
        <v>189</v>
      </c>
      <c r="CG30" s="34">
        <v>0.627349537037037</v>
      </c>
      <c r="CH30" s="11">
        <v>45362</v>
      </c>
      <c r="CI30" t="s">
        <v>189</v>
      </c>
      <c r="CJ30" s="34">
        <v>0.627349537037037</v>
      </c>
      <c r="CK30" t="s">
        <v>326</v>
      </c>
    </row>
    <row r="31" spans="2:89" x14ac:dyDescent="0.35">
      <c r="B31" s="11"/>
      <c r="F31" s="34"/>
      <c r="G31" s="34"/>
      <c r="CC31" t="s">
        <v>392</v>
      </c>
      <c r="CD31" s="11">
        <v>45362</v>
      </c>
      <c r="CE31" t="s">
        <v>326</v>
      </c>
      <c r="CF31" t="s">
        <v>502</v>
      </c>
      <c r="CG31" s="34">
        <v>0.62815972222222227</v>
      </c>
    </row>
    <row r="32" spans="2:89" x14ac:dyDescent="0.35">
      <c r="B32" s="11"/>
      <c r="F32" s="34"/>
      <c r="G32" s="34"/>
      <c r="CC32" t="s">
        <v>389</v>
      </c>
      <c r="CD32" s="11">
        <v>45362</v>
      </c>
      <c r="CE32" t="s">
        <v>326</v>
      </c>
      <c r="CF32" t="s">
        <v>189</v>
      </c>
      <c r="CG32" s="34">
        <v>0.62847222222222221</v>
      </c>
      <c r="CH32" s="11">
        <v>45362</v>
      </c>
      <c r="CI32" t="s">
        <v>189</v>
      </c>
      <c r="CJ32" s="34">
        <v>0.62847222222222221</v>
      </c>
      <c r="CK32" t="s">
        <v>326</v>
      </c>
    </row>
    <row r="33" spans="2:89" x14ac:dyDescent="0.35">
      <c r="B33" s="11"/>
      <c r="F33" s="34"/>
      <c r="G33" s="34"/>
      <c r="CC33" t="s">
        <v>401</v>
      </c>
      <c r="CD33" s="11">
        <v>45362</v>
      </c>
      <c r="CE33" t="s">
        <v>326</v>
      </c>
      <c r="CF33" t="s">
        <v>189</v>
      </c>
      <c r="CG33" s="34">
        <v>0.62878472222222226</v>
      </c>
      <c r="CH33" s="11">
        <v>45362</v>
      </c>
      <c r="CI33" t="s">
        <v>189</v>
      </c>
      <c r="CJ33" s="34">
        <v>0.62878472222222226</v>
      </c>
      <c r="CK33" t="s">
        <v>326</v>
      </c>
    </row>
    <row r="34" spans="2:89" x14ac:dyDescent="0.35">
      <c r="B34" s="11"/>
      <c r="F34" s="34"/>
      <c r="G34" s="34"/>
    </row>
    <row r="35" spans="2:89" x14ac:dyDescent="0.35">
      <c r="B35" s="11"/>
      <c r="F35" s="34"/>
      <c r="G35" s="34"/>
    </row>
    <row r="36" spans="2:89" x14ac:dyDescent="0.35">
      <c r="B36" s="11"/>
      <c r="F36" s="34"/>
      <c r="G36" s="34"/>
    </row>
    <row r="37" spans="2:89" x14ac:dyDescent="0.35">
      <c r="B37" s="11"/>
      <c r="F37" s="34"/>
      <c r="G37" s="34"/>
    </row>
    <row r="38" spans="2:89" x14ac:dyDescent="0.35">
      <c r="B38" s="11"/>
      <c r="F38" s="34"/>
      <c r="G38" s="34"/>
    </row>
    <row r="39" spans="2:89" x14ac:dyDescent="0.35">
      <c r="B39" s="11"/>
      <c r="F39" s="34"/>
      <c r="G39" s="34"/>
    </row>
    <row r="40" spans="2:89" x14ac:dyDescent="0.35">
      <c r="B40" s="11"/>
      <c r="F40" s="34"/>
      <c r="G40" s="34"/>
    </row>
    <row r="41" spans="2:89" x14ac:dyDescent="0.35">
      <c r="B41" s="11"/>
      <c r="F41" s="34"/>
      <c r="G41" s="34"/>
    </row>
    <row r="42" spans="2:89" x14ac:dyDescent="0.35">
      <c r="B42" s="11"/>
      <c r="F42" s="34"/>
      <c r="G42" s="34"/>
    </row>
    <row r="43" spans="2:89" x14ac:dyDescent="0.35">
      <c r="B43" s="11"/>
      <c r="F43" s="34"/>
      <c r="G43" s="34"/>
    </row>
    <row r="44" spans="2:89" x14ac:dyDescent="0.35">
      <c r="B44" s="11"/>
      <c r="F44" s="34"/>
      <c r="G44" s="34"/>
    </row>
    <row r="45" spans="2:89" x14ac:dyDescent="0.35">
      <c r="B45" s="11"/>
      <c r="F45" s="34"/>
      <c r="G45" s="34"/>
    </row>
    <row r="46" spans="2:89" x14ac:dyDescent="0.35">
      <c r="B46" s="11"/>
      <c r="F46" s="34"/>
      <c r="G46" s="34"/>
    </row>
    <row r="47" spans="2:89" x14ac:dyDescent="0.35">
      <c r="B47" s="11"/>
      <c r="F47" s="34"/>
      <c r="G47" s="34"/>
    </row>
    <row r="48" spans="2:89" x14ac:dyDescent="0.35">
      <c r="B48" s="11"/>
      <c r="F48" s="34"/>
      <c r="G48" s="34"/>
    </row>
    <row r="49" spans="2:7" x14ac:dyDescent="0.35">
      <c r="B49" s="11"/>
      <c r="F49" s="34"/>
      <c r="G49" s="34"/>
    </row>
    <row r="50" spans="2:7" x14ac:dyDescent="0.35">
      <c r="B50" s="11"/>
      <c r="F50" s="34"/>
      <c r="G50" s="34"/>
    </row>
    <row r="51" spans="2:7" x14ac:dyDescent="0.35">
      <c r="B51" s="11"/>
      <c r="F51" s="34"/>
      <c r="G51" s="34"/>
    </row>
    <row r="52" spans="2:7" x14ac:dyDescent="0.35">
      <c r="B52" s="11"/>
      <c r="F52" s="34"/>
      <c r="G52" s="34"/>
    </row>
    <row r="53" spans="2:7" x14ac:dyDescent="0.35">
      <c r="B53" s="11"/>
      <c r="F53" s="34"/>
      <c r="G53" s="34"/>
    </row>
  </sheetData>
  <mergeCells count="13">
    <mergeCell ref="CN1:CR1"/>
    <mergeCell ref="CC1:CJ1"/>
    <mergeCell ref="B1:G1"/>
    <mergeCell ref="J1:Q1"/>
    <mergeCell ref="T1:X1"/>
    <mergeCell ref="AA1:AE1"/>
    <mergeCell ref="AH1:AK1"/>
    <mergeCell ref="BV1:BZ1"/>
    <mergeCell ref="AN1:AR1"/>
    <mergeCell ref="AU1:AY1"/>
    <mergeCell ref="BB1:BE1"/>
    <mergeCell ref="BH1:BL1"/>
    <mergeCell ref="BO1:BS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EF08-526E-40EA-BDC9-5553F4685606}">
  <sheetPr codeName="Hoja8"/>
  <dimension ref="B1:AD4"/>
  <sheetViews>
    <sheetView workbookViewId="0">
      <selection activeCell="E21" sqref="E21"/>
    </sheetView>
  </sheetViews>
  <sheetFormatPr baseColWidth="10" defaultRowHeight="14.5" x14ac:dyDescent="0.35"/>
  <cols>
    <col min="2" max="2" width="13" bestFit="1" customWidth="1"/>
    <col min="3" max="3" width="18.81640625" customWidth="1"/>
    <col min="4" max="4" width="15.54296875" bestFit="1" customWidth="1"/>
    <col min="5" max="5" width="13" bestFit="1" customWidth="1"/>
    <col min="6" max="6" width="15.54296875" bestFit="1" customWidth="1"/>
    <col min="8" max="8" width="15.54296875" bestFit="1" customWidth="1"/>
  </cols>
  <sheetData>
    <row r="1" spans="2:30" x14ac:dyDescent="0.35">
      <c r="B1" s="40" t="s">
        <v>163</v>
      </c>
      <c r="C1" t="s">
        <v>161</v>
      </c>
      <c r="D1" s="40" t="s">
        <v>162</v>
      </c>
      <c r="E1" s="33" t="s">
        <v>163</v>
      </c>
      <c r="F1" s="33" t="s">
        <v>162</v>
      </c>
      <c r="G1" t="s">
        <v>164</v>
      </c>
      <c r="H1" s="40" t="s">
        <v>165</v>
      </c>
      <c r="J1" s="34"/>
    </row>
    <row r="2" spans="2:30" x14ac:dyDescent="0.35">
      <c r="B2" t="str" cm="1">
        <f t="array" ref="B2">_xlfn.UNIQUE(Tabla6[Mes])</f>
        <v>noviembre</v>
      </c>
      <c r="C2">
        <v>44</v>
      </c>
      <c r="D2" cm="1">
        <f t="array" ref="D2">_xlfn.UNIQUE(Tabla8[semanas por mes])</f>
        <v>44</v>
      </c>
      <c r="E2" t="s">
        <v>336</v>
      </c>
      <c r="F2">
        <v>44</v>
      </c>
      <c r="G2" t="s">
        <v>326</v>
      </c>
      <c r="H2" t="str" cm="1">
        <f t="array" ref="H2">_xlfn.UNIQUE(Tabla9[Nombres])</f>
        <v>DIANA DELGADILLO JUAREZ</v>
      </c>
      <c r="M2">
        <v>27</v>
      </c>
      <c r="N2" s="11" t="s">
        <v>176</v>
      </c>
      <c r="O2" t="s">
        <v>174</v>
      </c>
      <c r="P2" t="s">
        <v>175</v>
      </c>
      <c r="Q2">
        <v>-300</v>
      </c>
      <c r="T2">
        <v>27</v>
      </c>
      <c r="U2" s="11">
        <v>45476</v>
      </c>
      <c r="V2" s="20">
        <v>100</v>
      </c>
      <c r="W2">
        <v>100</v>
      </c>
      <c r="X2" s="11" t="s">
        <v>160</v>
      </c>
      <c r="AA2">
        <v>27</v>
      </c>
      <c r="AB2">
        <v>100</v>
      </c>
      <c r="AC2">
        <v>-300</v>
      </c>
      <c r="AD2">
        <v>-200</v>
      </c>
    </row>
    <row r="3" spans="2:30" x14ac:dyDescent="0.35">
      <c r="C3">
        <v>44</v>
      </c>
      <c r="G3" t="s">
        <v>326</v>
      </c>
    </row>
    <row r="4" spans="2:30" x14ac:dyDescent="0.35">
      <c r="C4">
        <v>44</v>
      </c>
      <c r="G4" t="s">
        <v>326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Hoja1</vt:lpstr>
      <vt:lpstr>Registros</vt:lpstr>
      <vt:lpstr>Servicios-Precios</vt:lpstr>
      <vt:lpstr>Registro de clientes</vt:lpstr>
      <vt:lpstr>hoja de factura</vt:lpstr>
      <vt:lpstr>RDS-No entregados</vt:lpstr>
      <vt:lpstr>Registros_conteo</vt:lpstr>
      <vt:lpstr>Hoja de control</vt:lpstr>
      <vt:lpstr>Registros_conteo!Área_de_extracción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Yañes Martinez</dc:creator>
  <cp:lastModifiedBy>Giovanni Yañes Martinez</cp:lastModifiedBy>
  <cp:lastPrinted>2024-11-03T21:51:36Z</cp:lastPrinted>
  <dcterms:created xsi:type="dcterms:W3CDTF">2024-05-17T03:08:01Z</dcterms:created>
  <dcterms:modified xsi:type="dcterms:W3CDTF">2024-11-04T01:27:29Z</dcterms:modified>
</cp:coreProperties>
</file>